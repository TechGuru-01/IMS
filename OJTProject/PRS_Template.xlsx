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OJTProject\"/>
    </mc:Choice>
  </mc:AlternateContent>
  <bookViews>
    <workbookView xWindow="0" yWindow="0" windowWidth="12450" windowHeight="6600"/>
  </bookViews>
  <sheets>
    <sheet name="PRS FORM" sheetId="2" r:id="rId1"/>
  </sheets>
  <externalReferences>
    <externalReference r:id="rId2"/>
  </externalReferences>
  <definedNames>
    <definedName name="AprStart">WEEKDAY(DATE(Year,4,1))</definedName>
    <definedName name="AugStart">WEEKDAY(DATE(Year,8,1))</definedName>
    <definedName name="DecStart">WEEKDAY(DATE(Year,12,1))</definedName>
    <definedName name="Excel_BuiltIn_Print_Area_3" localSheetId="0">#REF!</definedName>
    <definedName name="FebStart">WEEKDAY(DATE(Year,2,1))</definedName>
    <definedName name="IsLeapYear">OR(MOD(Year,400)=0,AND(MOD(Year,4)=0,MOD(Year,100)&lt;&gt;0))</definedName>
    <definedName name="JanStart">WEEKDAY(DATE(Year,1,1))</definedName>
    <definedName name="JulStart">WEEKDAY(DATE(Year,7,1))</definedName>
    <definedName name="JunStart">WEEKDAY(DATE(Year,6,1))</definedName>
    <definedName name="MarStart">WEEKDAY(DATE(Year,3,1))</definedName>
    <definedName name="MayStart">WEEKDAY(DATE(Year,5,1))</definedName>
    <definedName name="NovStart">WEEKDAY(DATE(Year,11,1))</definedName>
    <definedName name="OctStart">WEEKDAY(DATE(Year,10,1))</definedName>
    <definedName name="_xlnm.Print_Area" localSheetId="0">'PRS FORM'!$A$1:$AN$84</definedName>
    <definedName name="SepStart">WEEKDAY(DATE(Year,9,1))</definedName>
    <definedName name="Year">[1]Calendar!$B$2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37" i="2" l="1"/>
  <c r="AL80" i="2"/>
  <c r="AH17" i="2" l="1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M37" i="2"/>
  <c r="AM80" i="2" s="1"/>
  <c r="AN84" i="2" l="1"/>
  <c r="O82" i="2"/>
  <c r="O80" i="2"/>
  <c r="AF78" i="2"/>
  <c r="A78" i="2"/>
  <c r="V77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G50" i="2"/>
  <c r="D50" i="2"/>
  <c r="AN47" i="2"/>
  <c r="A47" i="2"/>
  <c r="O39" i="2"/>
  <c r="AG6" i="2" s="1"/>
  <c r="AG49" i="2" s="1"/>
  <c r="A80" i="2"/>
  <c r="AP35" i="2"/>
  <c r="AQ35" i="2" s="1"/>
  <c r="AO35" i="2"/>
  <c r="AI78" i="2"/>
  <c r="AH78" i="2"/>
  <c r="AE78" i="2"/>
  <c r="AB78" i="2"/>
  <c r="Z78" i="2"/>
  <c r="V78" i="2"/>
  <c r="O78" i="2"/>
  <c r="G78" i="2"/>
  <c r="B78" i="2"/>
  <c r="AO34" i="2"/>
  <c r="AI77" i="2"/>
  <c r="AH77" i="2"/>
  <c r="AF77" i="2"/>
  <c r="AE77" i="2"/>
  <c r="AB77" i="2"/>
  <c r="Z77" i="2"/>
  <c r="O77" i="2"/>
  <c r="G77" i="2"/>
  <c r="B77" i="2"/>
  <c r="AP33" i="2"/>
  <c r="AQ33" i="2" s="1"/>
  <c r="AO33" i="2"/>
  <c r="AI76" i="2"/>
  <c r="AH76" i="2"/>
  <c r="AF76" i="2"/>
  <c r="AE76" i="2"/>
  <c r="AB76" i="2"/>
  <c r="Z76" i="2"/>
  <c r="V76" i="2"/>
  <c r="O76" i="2"/>
  <c r="G76" i="2"/>
  <c r="B76" i="2"/>
  <c r="AP32" i="2"/>
  <c r="AQ32" i="2" s="1"/>
  <c r="AO32" i="2"/>
  <c r="AI75" i="2"/>
  <c r="AH75" i="2"/>
  <c r="AF75" i="2"/>
  <c r="AE75" i="2"/>
  <c r="AB75" i="2"/>
  <c r="Z75" i="2"/>
  <c r="V75" i="2"/>
  <c r="O75" i="2"/>
  <c r="G75" i="2"/>
  <c r="B75" i="2"/>
  <c r="AP31" i="2"/>
  <c r="AQ31" i="2" s="1"/>
  <c r="AO31" i="2"/>
  <c r="AI74" i="2"/>
  <c r="AH74" i="2"/>
  <c r="AF74" i="2"/>
  <c r="AE74" i="2"/>
  <c r="AB74" i="2"/>
  <c r="Z74" i="2"/>
  <c r="V74" i="2"/>
  <c r="O74" i="2"/>
  <c r="G74" i="2"/>
  <c r="B74" i="2"/>
  <c r="AP30" i="2"/>
  <c r="AQ30" i="2" s="1"/>
  <c r="AO30" i="2"/>
  <c r="AI73" i="2"/>
  <c r="AH73" i="2"/>
  <c r="AF73" i="2"/>
  <c r="AE73" i="2"/>
  <c r="AB73" i="2"/>
  <c r="Z73" i="2"/>
  <c r="V73" i="2"/>
  <c r="O73" i="2"/>
  <c r="G73" i="2"/>
  <c r="B73" i="2"/>
  <c r="AP29" i="2"/>
  <c r="AQ29" i="2" s="1"/>
  <c r="AO29" i="2"/>
  <c r="AI72" i="2"/>
  <c r="AH72" i="2"/>
  <c r="AF72" i="2"/>
  <c r="AE72" i="2"/>
  <c r="AB72" i="2"/>
  <c r="Z72" i="2"/>
  <c r="V72" i="2"/>
  <c r="R72" i="2"/>
  <c r="G72" i="2"/>
  <c r="B72" i="2"/>
  <c r="AP28" i="2"/>
  <c r="AQ28" i="2" s="1"/>
  <c r="AO28" i="2"/>
  <c r="AI71" i="2"/>
  <c r="AH71" i="2"/>
  <c r="AF71" i="2"/>
  <c r="AE71" i="2"/>
  <c r="AB71" i="2"/>
  <c r="Z71" i="2"/>
  <c r="V71" i="2"/>
  <c r="O71" i="2"/>
  <c r="G71" i="2"/>
  <c r="B71" i="2"/>
  <c r="AP27" i="2"/>
  <c r="AQ27" i="2" s="1"/>
  <c r="AO27" i="2"/>
  <c r="AI70" i="2"/>
  <c r="AH70" i="2"/>
  <c r="AF70" i="2"/>
  <c r="AE70" i="2"/>
  <c r="AB70" i="2"/>
  <c r="Z70" i="2"/>
  <c r="V70" i="2"/>
  <c r="O70" i="2"/>
  <c r="G70" i="2"/>
  <c r="B70" i="2"/>
  <c r="AP26" i="2"/>
  <c r="AQ26" i="2" s="1"/>
  <c r="AO26" i="2"/>
  <c r="AI69" i="2"/>
  <c r="AH69" i="2"/>
  <c r="AF69" i="2"/>
  <c r="AE69" i="2"/>
  <c r="AB69" i="2"/>
  <c r="Z69" i="2"/>
  <c r="V69" i="2"/>
  <c r="O69" i="2"/>
  <c r="G69" i="2"/>
  <c r="B69" i="2"/>
  <c r="AP25" i="2"/>
  <c r="AQ25" i="2" s="1"/>
  <c r="AO25" i="2"/>
  <c r="AI68" i="2"/>
  <c r="AH68" i="2"/>
  <c r="AF68" i="2"/>
  <c r="AE68" i="2"/>
  <c r="AB68" i="2"/>
  <c r="Z68" i="2"/>
  <c r="V68" i="2"/>
  <c r="O68" i="2"/>
  <c r="G68" i="2"/>
  <c r="B68" i="2"/>
  <c r="AP24" i="2"/>
  <c r="AQ24" i="2" s="1"/>
  <c r="AO24" i="2"/>
  <c r="AI67" i="2"/>
  <c r="AH67" i="2"/>
  <c r="AF67" i="2"/>
  <c r="AE67" i="2"/>
  <c r="AB67" i="2"/>
  <c r="Z67" i="2"/>
  <c r="V67" i="2"/>
  <c r="O67" i="2"/>
  <c r="G67" i="2"/>
  <c r="B67" i="2"/>
  <c r="AP23" i="2"/>
  <c r="AQ23" i="2" s="1"/>
  <c r="AO23" i="2"/>
  <c r="AI66" i="2"/>
  <c r="AH66" i="2"/>
  <c r="AF66" i="2"/>
  <c r="AE66" i="2"/>
  <c r="AB66" i="2"/>
  <c r="Z66" i="2"/>
  <c r="V66" i="2"/>
  <c r="R66" i="2"/>
  <c r="G66" i="2"/>
  <c r="B66" i="2"/>
  <c r="AP22" i="2"/>
  <c r="AQ22" i="2" s="1"/>
  <c r="AO22" i="2"/>
  <c r="AI65" i="2"/>
  <c r="AH65" i="2"/>
  <c r="AF65" i="2"/>
  <c r="AE65" i="2"/>
  <c r="AB65" i="2"/>
  <c r="Z65" i="2"/>
  <c r="V65" i="2"/>
  <c r="O65" i="2"/>
  <c r="G65" i="2"/>
  <c r="B65" i="2"/>
  <c r="AP21" i="2"/>
  <c r="AQ21" i="2" s="1"/>
  <c r="AO21" i="2"/>
  <c r="AI64" i="2"/>
  <c r="AH64" i="2"/>
  <c r="AF64" i="2"/>
  <c r="AE64" i="2"/>
  <c r="AB64" i="2"/>
  <c r="Z64" i="2"/>
  <c r="V64" i="2"/>
  <c r="O64" i="2"/>
  <c r="G64" i="2"/>
  <c r="B64" i="2"/>
  <c r="AP20" i="2"/>
  <c r="AQ20" i="2" s="1"/>
  <c r="AO20" i="2"/>
  <c r="AI63" i="2"/>
  <c r="AH63" i="2"/>
  <c r="AF63" i="2"/>
  <c r="AE63" i="2"/>
  <c r="AB63" i="2"/>
  <c r="Z63" i="2"/>
  <c r="V63" i="2"/>
  <c r="O63" i="2"/>
  <c r="G63" i="2"/>
  <c r="B63" i="2"/>
  <c r="AP19" i="2"/>
  <c r="AQ19" i="2" s="1"/>
  <c r="AO19" i="2"/>
  <c r="AI62" i="2"/>
  <c r="AH62" i="2"/>
  <c r="AF62" i="2"/>
  <c r="AE62" i="2"/>
  <c r="AB62" i="2"/>
  <c r="Z62" i="2"/>
  <c r="V62" i="2"/>
  <c r="O62" i="2"/>
  <c r="G62" i="2"/>
  <c r="B62" i="2"/>
  <c r="AO18" i="2"/>
  <c r="G61" i="2" s="1"/>
  <c r="AO17" i="2"/>
  <c r="B60" i="2"/>
  <c r="F49" i="2"/>
  <c r="O60" i="2" l="1"/>
  <c r="AP17" i="2"/>
  <c r="AQ17" i="2" s="1"/>
  <c r="AR17" i="2" s="1"/>
  <c r="R69" i="2"/>
  <c r="Z60" i="2"/>
  <c r="V61" i="2"/>
  <c r="R67" i="2"/>
  <c r="AF60" i="2"/>
  <c r="AB61" i="2"/>
  <c r="R68" i="2"/>
  <c r="R70" i="2"/>
  <c r="R77" i="2"/>
  <c r="AL82" i="2"/>
  <c r="AE60" i="2"/>
  <c r="Z61" i="2"/>
  <c r="R62" i="2"/>
  <c r="R73" i="2"/>
  <c r="AE61" i="2"/>
  <c r="R63" i="2"/>
  <c r="R74" i="2"/>
  <c r="G60" i="2"/>
  <c r="AH61" i="2"/>
  <c r="R64" i="2"/>
  <c r="R75" i="2"/>
  <c r="R60" i="2"/>
  <c r="R76" i="2"/>
  <c r="V60" i="2"/>
  <c r="B61" i="2"/>
  <c r="AP18" i="2"/>
  <c r="AQ18" i="2" s="1"/>
  <c r="R65" i="2"/>
  <c r="R71" i="2"/>
  <c r="R78" i="2"/>
  <c r="O66" i="2"/>
  <c r="O72" i="2"/>
  <c r="AB60" i="2"/>
  <c r="AU17" i="2" l="1"/>
  <c r="AI60" i="2"/>
  <c r="AI61" i="2"/>
  <c r="AF61" i="2"/>
  <c r="R61" i="2"/>
  <c r="O61" i="2"/>
  <c r="AH60" i="2"/>
</calcChain>
</file>

<file path=xl/sharedStrings.xml><?xml version="1.0" encoding="utf-8"?>
<sst xmlns="http://schemas.openxmlformats.org/spreadsheetml/2006/main" count="251" uniqueCount="57">
  <si>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</si>
  <si>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PURCHASE REQUISITION SHEET</t>
  </si>
  <si>
    <r>
      <t xml:space="preserve">Rev. No.:  </t>
    </r>
    <r>
      <rPr>
        <u/>
        <sz val="15"/>
        <rFont val="Arial"/>
        <family val="2"/>
      </rPr>
      <t>07</t>
    </r>
  </si>
  <si>
    <r>
      <t xml:space="preserve"> Page No.: </t>
    </r>
    <r>
      <rPr>
        <u/>
        <sz val="20"/>
        <rFont val="Arial"/>
        <family val="2"/>
      </rPr>
      <t xml:space="preserve"> 1  /  1</t>
    </r>
  </si>
  <si>
    <t xml:space="preserve">    </t>
  </si>
  <si>
    <t>DATE NEEDED :</t>
  </si>
  <si>
    <t>REFERENCE NO. :</t>
  </si>
  <si>
    <t>DEPT./SECTION :</t>
  </si>
  <si>
    <t>POD-JIG</t>
  </si>
  <si>
    <t>✔</t>
  </si>
  <si>
    <t xml:space="preserve">TYPE OF REQUISITION: </t>
  </si>
  <si>
    <t xml:space="preserve"> </t>
  </si>
  <si>
    <t>✖</t>
  </si>
  <si>
    <t>J. E</t>
  </si>
  <si>
    <t>ITEM NO.</t>
  </si>
  <si>
    <t>MATERIAL NAME</t>
  </si>
  <si>
    <t>DESCRIPTION</t>
  </si>
  <si>
    <t>TYPE OF REQUISITION</t>
  </si>
  <si>
    <t>Put mark to identify if this item has direct contact to RM / FG</t>
  </si>
  <si>
    <t>MAKER</t>
  </si>
  <si>
    <t xml:space="preserve">QTY
</t>
  </si>
  <si>
    <t>UOM</t>
  </si>
  <si>
    <t xml:space="preserve">UNIT </t>
  </si>
  <si>
    <t>TOTAL
AMOUNT</t>
  </si>
  <si>
    <t>Estimated Time of Arrival</t>
  </si>
  <si>
    <t>Abbreviation</t>
  </si>
  <si>
    <t>Administrative &amp; Benefits</t>
  </si>
  <si>
    <t>AB, FF,OE,OSE</t>
  </si>
  <si>
    <t xml:space="preserve">   </t>
  </si>
  <si>
    <t>Furniture &amp; Fixtures</t>
  </si>
  <si>
    <t>Office Equipment</t>
  </si>
  <si>
    <t>Office Supplies Expense</t>
  </si>
  <si>
    <t>Applicator</t>
  </si>
  <si>
    <t>APL,APS,ME,MPS,MS,PM,RM,TE</t>
  </si>
  <si>
    <t>Applicator Parts And Supplies</t>
  </si>
  <si>
    <t>Machinery &amp; Equipment</t>
  </si>
  <si>
    <t>Maintenance Parts &amp; Supplies</t>
  </si>
  <si>
    <t>Manufacturing Supplies</t>
  </si>
  <si>
    <t>Packaging Materials</t>
  </si>
  <si>
    <t>Repair &amp; Maintenance</t>
  </si>
  <si>
    <t>Tools and Equipment</t>
  </si>
  <si>
    <t>AB,FF,OE,OSE</t>
  </si>
  <si>
    <t>`</t>
  </si>
  <si>
    <t xml:space="preserve">Remarks : </t>
  </si>
  <si>
    <t>Prepared</t>
  </si>
  <si>
    <t>Checked</t>
  </si>
  <si>
    <t>Approved</t>
  </si>
  <si>
    <t>Received</t>
  </si>
  <si>
    <t>TOTAL</t>
  </si>
  <si>
    <t>Q03FC-0004</t>
  </si>
  <si>
    <t>DOC. 21 SEPT. '22</t>
  </si>
  <si>
    <t>ATTENTION :</t>
  </si>
  <si>
    <t>Please provide us the following material(s) listed below :</t>
  </si>
  <si>
    <t xml:space="preserve">  </t>
  </si>
  <si>
    <t>Attention</t>
  </si>
  <si>
    <t/>
  </si>
  <si>
    <t>Hayakawa Electronics (Phils.) Corp.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</si>
</sst>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₱-464]#,##0.00"/>
  </numFmts>
  <fonts count="3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0"/>
      <name val="Times New Roman"/>
      <family val="1"/>
    </font>
    <font>
      <sz val="8"/>
      <color theme="0"/>
      <name val="Arial"/>
      <family val="2"/>
    </font>
    <font>
      <sz val="8"/>
      <name val="Arial"/>
      <family val="2"/>
    </font>
    <font>
      <sz val="15"/>
      <name val="Arial"/>
      <family val="2"/>
    </font>
    <font>
      <u/>
      <sz val="15"/>
      <name val="Arial"/>
      <family val="2"/>
    </font>
    <font>
      <sz val="20"/>
      <name val="Arial"/>
      <family val="2"/>
    </font>
    <font>
      <u/>
      <sz val="20"/>
      <name val="Arial"/>
      <family val="2"/>
    </font>
    <font>
      <b/>
      <sz val="13"/>
      <name val="Arial"/>
      <family val="2"/>
    </font>
    <font>
      <b/>
      <sz val="15"/>
      <name val="Arial"/>
      <family val="2"/>
    </font>
    <font>
      <b/>
      <i/>
      <sz val="13"/>
      <name val="Arial"/>
      <family val="2"/>
    </font>
    <font>
      <sz val="9"/>
      <name val="Segoe UI Symbo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Arial"/>
      <family val="2"/>
    </font>
    <font>
      <b/>
      <sz val="15"/>
      <name val="Times New Roman"/>
      <family val="1"/>
    </font>
    <font>
      <u/>
      <sz val="10"/>
      <color theme="10"/>
      <name val="Times New Roman"/>
      <family val="1"/>
    </font>
    <font>
      <b/>
      <u/>
      <sz val="15"/>
      <color rgb="FF0000FF"/>
      <name val="Arial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sz val="13"/>
      <name val="Arial"/>
      <family val="2"/>
    </font>
    <font>
      <b/>
      <sz val="9"/>
      <color theme="1"/>
      <name val="Times New Roman"/>
      <family val="1"/>
    </font>
    <font>
      <b/>
      <sz val="9"/>
      <color theme="1"/>
      <name val="Wingdings"/>
      <charset val="2"/>
    </font>
    <font>
      <b/>
      <u/>
      <sz val="13"/>
      <color theme="10"/>
      <name val="Arial"/>
      <family val="2"/>
    </font>
    <font>
      <sz val="11"/>
      <name val="Arial"/>
      <family val="2"/>
    </font>
    <font>
      <b/>
      <sz val="9"/>
      <name val="Futura LT BoldOblique"/>
    </font>
    <font>
      <sz val="9"/>
      <name val="Futura LT BoldOblique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58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dotted">
        <color auto="1"/>
      </top>
      <bottom/>
      <diagonal/>
    </border>
  </borders>
  <cellStyleXfs count="5">
    <xf numFmtId="0" fontId="0" fillId="0" borderId="0"/>
    <xf numFmtId="0" fontId="1" fillId="0" borderId="0"/>
    <xf numFmtId="0" fontId="7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61">
    <xf numFmtId="0" fontId="0" fillId="0" borderId="0" xfId="0"/>
    <xf numFmtId="21" fontId="8" fillId="0" borderId="0" xfId="2" applyNumberFormat="1" applyFont="1" applyAlignment="1">
      <alignment horizontal="center"/>
    </xf>
    <xf numFmtId="0" fontId="9" fillId="0" borderId="0" xfId="2" applyFont="1" applyAlignment="1">
      <alignment horizontal="left"/>
    </xf>
    <xf numFmtId="0" fontId="1" fillId="0" borderId="0" xfId="2" applyFont="1"/>
    <xf numFmtId="0" fontId="9" fillId="0" borderId="0" xfId="2" applyFont="1" applyAlignment="1">
      <alignment vertical="top"/>
    </xf>
    <xf numFmtId="0" fontId="9" fillId="0" borderId="0" xfId="2" applyFont="1" applyAlignment="1">
      <alignment horizontal="left" vertical="top"/>
    </xf>
    <xf numFmtId="14" fontId="1" fillId="0" borderId="0" xfId="2" applyNumberFormat="1" applyFont="1"/>
    <xf numFmtId="0" fontId="10" fillId="0" borderId="0" xfId="2" applyFont="1"/>
    <xf numFmtId="0" fontId="12" fillId="0" borderId="0" xfId="2" applyFont="1" applyAlignment="1">
      <alignment horizontal="right"/>
    </xf>
    <xf numFmtId="0" fontId="1" fillId="0" borderId="2" xfId="2" applyFont="1" applyBorder="1"/>
    <xf numFmtId="0" fontId="1" fillId="0" borderId="3" xfId="2" applyFont="1" applyBorder="1"/>
    <xf numFmtId="0" fontId="6" fillId="0" borderId="3" xfId="2" applyFont="1" applyBorder="1" applyAlignment="1">
      <alignment horizontal="left"/>
    </xf>
    <xf numFmtId="0" fontId="1" fillId="0" borderId="5" xfId="2" applyFont="1" applyBorder="1"/>
    <xf numFmtId="0" fontId="1" fillId="0" borderId="6" xfId="2" applyFont="1" applyBorder="1"/>
    <xf numFmtId="0" fontId="5" fillId="0" borderId="0" xfId="2" applyFont="1" applyAlignment="1">
      <alignment vertical="center"/>
    </xf>
    <xf numFmtId="0" fontId="6" fillId="0" borderId="0" xfId="2" applyFont="1" applyAlignment="1">
      <alignment horizontal="left"/>
    </xf>
    <xf numFmtId="0" fontId="1" fillId="0" borderId="8" xfId="2" applyFont="1" applyBorder="1"/>
    <xf numFmtId="0" fontId="5" fillId="0" borderId="6" xfId="2" applyFont="1" applyBorder="1" applyAlignment="1">
      <alignment vertical="center"/>
    </xf>
    <xf numFmtId="0" fontId="5" fillId="0" borderId="8" xfId="2" applyFont="1" applyBorder="1" applyAlignment="1">
      <alignment vertical="center"/>
    </xf>
    <xf numFmtId="0" fontId="4" fillId="0" borderId="0" xfId="2" applyFont="1" applyAlignment="1">
      <alignment vertical="center"/>
    </xf>
    <xf numFmtId="0" fontId="1" fillId="0" borderId="0" xfId="2" applyFont="1" applyAlignment="1">
      <alignment vertical="center"/>
    </xf>
    <xf numFmtId="0" fontId="1" fillId="0" borderId="9" xfId="2" applyFont="1" applyBorder="1"/>
    <xf numFmtId="0" fontId="1" fillId="0" borderId="10" xfId="2" applyFont="1" applyBorder="1"/>
    <xf numFmtId="0" fontId="1" fillId="0" borderId="11" xfId="2" applyFont="1" applyBorder="1"/>
    <xf numFmtId="0" fontId="5" fillId="0" borderId="0" xfId="2" applyFont="1"/>
    <xf numFmtId="0" fontId="17" fillId="0" borderId="0" xfId="2" applyFont="1"/>
    <xf numFmtId="0" fontId="18" fillId="0" borderId="13" xfId="2" applyFont="1" applyBorder="1" applyAlignment="1">
      <alignment horizontal="center" vertical="center"/>
    </xf>
    <xf numFmtId="0" fontId="1" fillId="0" borderId="0" xfId="2" applyFont="1" applyAlignment="1">
      <alignment wrapText="1"/>
    </xf>
    <xf numFmtId="0" fontId="24" fillId="2" borderId="0" xfId="4" applyFont="1" applyFill="1" applyAlignment="1" applyProtection="1">
      <alignment horizontal="center"/>
      <protection hidden="1"/>
    </xf>
    <xf numFmtId="0" fontId="25" fillId="2" borderId="0" xfId="4" applyFont="1" applyFill="1" applyAlignment="1" applyProtection="1">
      <alignment horizontal="left"/>
      <protection hidden="1"/>
    </xf>
    <xf numFmtId="0" fontId="25" fillId="2" borderId="14" xfId="4" applyFont="1" applyFill="1" applyBorder="1" applyAlignment="1" applyProtection="1">
      <alignment horizontal="left"/>
      <protection hidden="1"/>
    </xf>
    <xf numFmtId="0" fontId="25" fillId="2" borderId="18" xfId="4" applyFont="1" applyFill="1" applyBorder="1" applyAlignment="1" applyProtection="1">
      <alignment horizontal="left"/>
      <protection hidden="1"/>
    </xf>
    <xf numFmtId="0" fontId="25" fillId="2" borderId="19" xfId="4" applyFont="1" applyFill="1" applyBorder="1" applyAlignment="1" applyProtection="1">
      <alignment horizontal="left"/>
      <protection hidden="1"/>
    </xf>
    <xf numFmtId="0" fontId="6" fillId="0" borderId="13" xfId="2" applyFont="1" applyBorder="1" applyAlignment="1">
      <alignment horizontal="center" vertical="center"/>
    </xf>
    <xf numFmtId="0" fontId="1" fillId="0" borderId="0" xfId="2" applyFont="1" applyAlignment="1">
      <alignment horizontal="right"/>
    </xf>
    <xf numFmtId="0" fontId="1" fillId="0" borderId="28" xfId="2" applyFont="1" applyBorder="1"/>
    <xf numFmtId="0" fontId="9" fillId="0" borderId="0" xfId="2" applyFont="1"/>
    <xf numFmtId="0" fontId="6" fillId="0" borderId="0" xfId="2" applyFont="1"/>
    <xf numFmtId="0" fontId="6" fillId="0" borderId="3" xfId="2" applyFont="1" applyBorder="1"/>
    <xf numFmtId="0" fontId="28" fillId="0" borderId="13" xfId="2" applyFont="1" applyBorder="1" applyAlignment="1">
      <alignment horizontal="center" vertical="center"/>
    </xf>
    <xf numFmtId="0" fontId="32" fillId="0" borderId="13" xfId="2" applyFont="1" applyBorder="1" applyAlignment="1">
      <alignment horizontal="center" vertical="center"/>
    </xf>
    <xf numFmtId="0" fontId="4" fillId="0" borderId="0" xfId="2" applyFont="1" applyAlignment="1">
      <alignment vertical="top" wrapText="1"/>
    </xf>
    <xf numFmtId="0" fontId="19" fillId="0" borderId="15" xfId="2" applyFont="1" applyBorder="1" applyAlignment="1">
      <alignment horizontal="center" vertical="center"/>
    </xf>
    <xf numFmtId="0" fontId="19" fillId="0" borderId="23" xfId="2" applyFont="1" applyBorder="1" applyAlignment="1">
      <alignment vertical="center"/>
    </xf>
    <xf numFmtId="0" fontId="19" fillId="0" borderId="20" xfId="2" applyFont="1" applyBorder="1" applyAlignment="1">
      <alignment horizontal="center" vertical="center"/>
    </xf>
    <xf numFmtId="0" fontId="15" fillId="0" borderId="13" xfId="2" applyFont="1" applyBorder="1" applyAlignment="1">
      <alignment horizontal="center" vertical="center" wrapText="1"/>
    </xf>
    <xf numFmtId="0" fontId="16" fillId="0" borderId="13" xfId="2" applyFont="1" applyBorder="1" applyAlignment="1">
      <alignment horizontal="center" vertical="center" wrapText="1"/>
    </xf>
    <xf numFmtId="0" fontId="1" fillId="0" borderId="13" xfId="2" applyFont="1" applyBorder="1" applyAlignment="1">
      <alignment horizontal="center" vertical="top" wrapText="1"/>
    </xf>
    <xf numFmtId="0" fontId="10" fillId="0" borderId="0" xfId="2" applyFont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14" fontId="6" fillId="0" borderId="4" xfId="2" applyNumberFormat="1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3" fillId="0" borderId="1" xfId="2" quotePrefix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5" fillId="0" borderId="12" xfId="2" applyFont="1" applyBorder="1" applyAlignment="1">
      <alignment vertical="center"/>
    </xf>
    <xf numFmtId="0" fontId="15" fillId="0" borderId="13" xfId="2" applyFont="1" applyBorder="1" applyAlignment="1">
      <alignment horizontal="center" vertical="center"/>
    </xf>
    <xf numFmtId="0" fontId="15" fillId="0" borderId="14" xfId="2" applyFont="1" applyBorder="1" applyAlignment="1">
      <alignment horizontal="center" vertical="center" wrapText="1"/>
    </xf>
    <xf numFmtId="0" fontId="3" fillId="0" borderId="17" xfId="2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 wrapText="1"/>
    </xf>
    <xf numFmtId="0" fontId="19" fillId="0" borderId="13" xfId="2" applyFont="1" applyBorder="1" applyAlignment="1">
      <alignment horizontal="center" vertical="center" wrapText="1"/>
    </xf>
    <xf numFmtId="0" fontId="20" fillId="0" borderId="13" xfId="2" applyFont="1" applyBorder="1" applyAlignment="1">
      <alignment horizontal="center" vertical="center" wrapText="1"/>
    </xf>
    <xf numFmtId="0" fontId="21" fillId="0" borderId="13" xfId="2" applyFont="1" applyBorder="1" applyAlignment="1">
      <alignment horizontal="center" vertical="center"/>
    </xf>
    <xf numFmtId="0" fontId="23" fillId="0" borderId="13" xfId="3" applyFont="1" applyBorder="1" applyAlignment="1" applyProtection="1">
      <alignment horizontal="center" vertical="center"/>
    </xf>
    <xf numFmtId="0" fontId="19" fillId="0" borderId="13" xfId="2" applyFont="1" applyBorder="1" applyAlignment="1">
      <alignment horizontal="center" vertical="center"/>
    </xf>
    <xf numFmtId="0" fontId="19" fillId="0" borderId="15" xfId="2" applyFont="1" applyBorder="1" applyAlignment="1">
      <alignment horizontal="center" vertical="center"/>
    </xf>
    <xf numFmtId="4" fontId="3" fillId="0" borderId="16" xfId="2" applyNumberFormat="1" applyFont="1" applyBorder="1" applyAlignment="1">
      <alignment horizontal="center" vertical="center"/>
    </xf>
    <xf numFmtId="4" fontId="3" fillId="0" borderId="17" xfId="2" applyNumberFormat="1" applyFont="1" applyBorder="1" applyAlignment="1">
      <alignment horizontal="center" vertical="center"/>
    </xf>
    <xf numFmtId="0" fontId="3" fillId="0" borderId="13" xfId="2" applyFont="1" applyBorder="1"/>
    <xf numFmtId="0" fontId="26" fillId="0" borderId="13" xfId="2" applyFont="1" applyBorder="1" applyAlignment="1">
      <alignment horizontal="center" vertical="center"/>
    </xf>
    <xf numFmtId="0" fontId="14" fillId="0" borderId="13" xfId="2" applyFont="1" applyBorder="1" applyAlignment="1">
      <alignment horizontal="center" vertical="center" wrapText="1"/>
    </xf>
    <xf numFmtId="0" fontId="26" fillId="0" borderId="13" xfId="2" applyFont="1" applyBorder="1"/>
    <xf numFmtId="0" fontId="15" fillId="0" borderId="15" xfId="2" applyFont="1" applyBorder="1" applyAlignment="1">
      <alignment horizontal="center" vertical="center"/>
    </xf>
    <xf numFmtId="0" fontId="26" fillId="0" borderId="13" xfId="2" applyFont="1" applyBorder="1" applyAlignment="1">
      <alignment horizontal="center" vertical="center" wrapText="1"/>
    </xf>
    <xf numFmtId="0" fontId="2" fillId="0" borderId="13" xfId="2" applyFont="1" applyBorder="1" applyAlignment="1">
      <alignment horizontal="center" vertical="center" wrapText="1"/>
    </xf>
    <xf numFmtId="0" fontId="2" fillId="0" borderId="13" xfId="2" applyFont="1" applyBorder="1" applyAlignment="1">
      <alignment horizontal="center" vertical="center"/>
    </xf>
    <xf numFmtId="0" fontId="27" fillId="0" borderId="13" xfId="2" applyFont="1" applyBorder="1" applyAlignment="1">
      <alignment horizontal="center" vertical="center" wrapText="1"/>
    </xf>
    <xf numFmtId="0" fontId="15" fillId="0" borderId="15" xfId="2" applyFont="1" applyBorder="1" applyAlignment="1">
      <alignment horizontal="center" vertical="center" wrapText="1"/>
    </xf>
    <xf numFmtId="0" fontId="15" fillId="0" borderId="16" xfId="2" applyFont="1" applyBorder="1" applyAlignment="1">
      <alignment horizontal="center" vertical="center" wrapText="1"/>
    </xf>
    <xf numFmtId="0" fontId="15" fillId="0" borderId="17" xfId="2" applyFont="1" applyBorder="1" applyAlignment="1">
      <alignment horizontal="center" vertical="center" wrapText="1"/>
    </xf>
    <xf numFmtId="0" fontId="2" fillId="0" borderId="15" xfId="2" applyFont="1" applyBorder="1" applyAlignment="1">
      <alignment horizontal="center" vertical="center"/>
    </xf>
    <xf numFmtId="0" fontId="2" fillId="0" borderId="16" xfId="2" applyFont="1" applyBorder="1" applyAlignment="1">
      <alignment horizontal="center" vertical="center"/>
    </xf>
    <xf numFmtId="0" fontId="2" fillId="0" borderId="17" xfId="2" applyFont="1" applyBorder="1" applyAlignment="1">
      <alignment horizontal="center" vertical="center"/>
    </xf>
    <xf numFmtId="0" fontId="15" fillId="0" borderId="14" xfId="2" applyFont="1" applyBorder="1" applyAlignment="1">
      <alignment horizontal="center" vertical="center"/>
    </xf>
    <xf numFmtId="0" fontId="15" fillId="0" borderId="20" xfId="2" applyFont="1" applyBorder="1" applyAlignment="1">
      <alignment horizontal="center" vertical="center"/>
    </xf>
    <xf numFmtId="4" fontId="3" fillId="0" borderId="21" xfId="2" applyNumberFormat="1" applyFont="1" applyBorder="1" applyAlignment="1">
      <alignment horizontal="center" vertical="center"/>
    </xf>
    <xf numFmtId="4" fontId="3" fillId="0" borderId="22" xfId="2" applyNumberFormat="1" applyFont="1" applyBorder="1" applyAlignment="1">
      <alignment horizontal="center" vertical="center"/>
    </xf>
    <xf numFmtId="0" fontId="26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vertical="center"/>
    </xf>
    <xf numFmtId="0" fontId="1" fillId="0" borderId="16" xfId="2" applyFont="1" applyBorder="1" applyAlignment="1">
      <alignment vertical="center"/>
    </xf>
    <xf numFmtId="0" fontId="1" fillId="0" borderId="17" xfId="2" applyFont="1" applyBorder="1" applyAlignment="1">
      <alignment vertical="center"/>
    </xf>
    <xf numFmtId="0" fontId="19" fillId="0" borderId="14" xfId="2" applyFont="1" applyBorder="1" applyAlignment="1">
      <alignment horizontal="center" vertical="center"/>
    </xf>
    <xf numFmtId="0" fontId="2" fillId="0" borderId="14" xfId="2" applyFont="1" applyBorder="1" applyAlignment="1">
      <alignment horizontal="center" vertical="center"/>
    </xf>
    <xf numFmtId="0" fontId="23" fillId="0" borderId="14" xfId="3" applyFont="1" applyBorder="1" applyAlignment="1" applyProtection="1">
      <alignment horizontal="center" vertical="center"/>
    </xf>
    <xf numFmtId="4" fontId="19" fillId="0" borderId="21" xfId="2" applyNumberFormat="1" applyFont="1" applyBorder="1" applyAlignment="1">
      <alignment horizontal="center" vertical="center"/>
    </xf>
    <xf numFmtId="4" fontId="19" fillId="0" borderId="22" xfId="2" applyNumberFormat="1" applyFont="1" applyBorder="1" applyAlignment="1">
      <alignment horizontal="center" vertical="center"/>
    </xf>
    <xf numFmtId="4" fontId="19" fillId="0" borderId="0" xfId="2" applyNumberFormat="1" applyFont="1" applyAlignment="1">
      <alignment horizontal="center" vertical="center"/>
    </xf>
    <xf numFmtId="4" fontId="19" fillId="0" borderId="24" xfId="2" applyNumberFormat="1" applyFont="1" applyBorder="1" applyAlignment="1">
      <alignment horizontal="center" vertical="center"/>
    </xf>
    <xf numFmtId="14" fontId="15" fillId="0" borderId="23" xfId="2" applyNumberFormat="1" applyFont="1" applyBorder="1" applyAlignment="1">
      <alignment horizontal="center" vertical="center" wrapText="1"/>
    </xf>
    <xf numFmtId="14" fontId="15" fillId="0" borderId="0" xfId="2" applyNumberFormat="1" applyFont="1" applyAlignment="1">
      <alignment horizontal="center" vertical="center" wrapText="1"/>
    </xf>
    <xf numFmtId="14" fontId="15" fillId="0" borderId="24" xfId="2" applyNumberFormat="1" applyFont="1" applyBorder="1" applyAlignment="1">
      <alignment horizontal="center" vertical="center" wrapText="1"/>
    </xf>
    <xf numFmtId="14" fontId="15" fillId="0" borderId="25" xfId="2" applyNumberFormat="1" applyFont="1" applyBorder="1" applyAlignment="1">
      <alignment horizontal="center" vertical="center" wrapText="1"/>
    </xf>
    <xf numFmtId="14" fontId="15" fillId="0" borderId="26" xfId="2" applyNumberFormat="1" applyFont="1" applyBorder="1" applyAlignment="1">
      <alignment horizontal="center" vertical="center" wrapText="1"/>
    </xf>
    <xf numFmtId="14" fontId="15" fillId="0" borderId="27" xfId="2" applyNumberFormat="1" applyFont="1" applyBorder="1" applyAlignment="1">
      <alignment horizontal="center" vertical="center" wrapText="1"/>
    </xf>
    <xf numFmtId="164" fontId="15" fillId="0" borderId="23" xfId="2" applyNumberFormat="1" applyFont="1" applyBorder="1" applyAlignment="1">
      <alignment horizontal="center" vertical="center"/>
    </xf>
    <xf numFmtId="164" fontId="15" fillId="0" borderId="0" xfId="2" applyNumberFormat="1" applyFont="1" applyAlignment="1">
      <alignment horizontal="center" vertical="center"/>
    </xf>
    <xf numFmtId="164" fontId="15" fillId="0" borderId="24" xfId="2" applyNumberFormat="1" applyFont="1" applyBorder="1" applyAlignment="1">
      <alignment horizontal="center" vertical="center"/>
    </xf>
    <xf numFmtId="164" fontId="15" fillId="0" borderId="25" xfId="2" applyNumberFormat="1" applyFont="1" applyBorder="1" applyAlignment="1">
      <alignment horizontal="center" vertical="center"/>
    </xf>
    <xf numFmtId="164" fontId="15" fillId="0" borderId="26" xfId="2" applyNumberFormat="1" applyFont="1" applyBorder="1" applyAlignment="1">
      <alignment horizontal="center" vertical="center"/>
    </xf>
    <xf numFmtId="164" fontId="15" fillId="0" borderId="27" xfId="2" applyNumberFormat="1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3" fillId="0" borderId="15" xfId="2" applyFont="1" applyBorder="1" applyAlignment="1">
      <alignment horizontal="center" vertical="center" wrapText="1"/>
    </xf>
    <xf numFmtId="0" fontId="19" fillId="0" borderId="20" xfId="2" applyFont="1" applyBorder="1" applyAlignment="1">
      <alignment horizontal="center" vertical="center" wrapText="1"/>
    </xf>
    <xf numFmtId="0" fontId="19" fillId="0" borderId="21" xfId="2" applyFont="1" applyBorder="1" applyAlignment="1">
      <alignment horizontal="center" vertical="center" wrapText="1"/>
    </xf>
    <xf numFmtId="0" fontId="19" fillId="0" borderId="22" xfId="2" applyFont="1" applyBorder="1" applyAlignment="1">
      <alignment horizontal="center" vertical="center" wrapText="1"/>
    </xf>
    <xf numFmtId="0" fontId="19" fillId="0" borderId="23" xfId="2" applyFont="1" applyBorder="1" applyAlignment="1">
      <alignment horizontal="center" vertical="center" wrapText="1"/>
    </xf>
    <xf numFmtId="0" fontId="19" fillId="0" borderId="0" xfId="2" applyFont="1" applyAlignment="1">
      <alignment horizontal="center" vertical="center" wrapText="1"/>
    </xf>
    <xf numFmtId="0" fontId="19" fillId="0" borderId="24" xfId="2" applyFont="1" applyBorder="1" applyAlignment="1">
      <alignment horizontal="center" vertical="center" wrapText="1"/>
    </xf>
    <xf numFmtId="0" fontId="2" fillId="0" borderId="17" xfId="2" applyFont="1" applyBorder="1" applyAlignment="1">
      <alignment horizontal="center" vertical="center" wrapText="1"/>
    </xf>
    <xf numFmtId="0" fontId="5" fillId="0" borderId="13" xfId="2" applyFont="1" applyBorder="1" applyAlignment="1">
      <alignment vertical="center"/>
    </xf>
    <xf numFmtId="0" fontId="5" fillId="0" borderId="15" xfId="2" applyFont="1" applyBorder="1" applyAlignment="1">
      <alignment vertical="center"/>
    </xf>
    <xf numFmtId="2" fontId="10" fillId="0" borderId="20" xfId="2" applyNumberFormat="1" applyFont="1" applyBorder="1" applyAlignment="1">
      <alignment horizontal="center" vertical="center"/>
    </xf>
    <xf numFmtId="2" fontId="10" fillId="0" borderId="23" xfId="2" applyNumberFormat="1" applyFont="1" applyBorder="1" applyAlignment="1">
      <alignment horizontal="center" vertical="center"/>
    </xf>
    <xf numFmtId="0" fontId="26" fillId="0" borderId="17" xfId="2" applyFont="1" applyBorder="1" applyAlignment="1">
      <alignment horizontal="center" vertical="center"/>
    </xf>
    <xf numFmtId="0" fontId="29" fillId="0" borderId="13" xfId="2" applyFont="1" applyBorder="1" applyAlignment="1">
      <alignment horizontal="center" vertical="center"/>
    </xf>
    <xf numFmtId="0" fontId="30" fillId="0" borderId="13" xfId="2" applyFont="1" applyBorder="1" applyAlignment="1">
      <alignment horizontal="center" vertical="center"/>
    </xf>
    <xf numFmtId="0" fontId="31" fillId="0" borderId="13" xfId="3" applyFont="1" applyBorder="1" applyAlignment="1" applyProtection="1">
      <alignment horizontal="center" vertical="center"/>
    </xf>
    <xf numFmtId="0" fontId="3" fillId="0" borderId="15" xfId="2" applyFont="1" applyBorder="1" applyAlignment="1">
      <alignment horizontal="center" vertical="center"/>
    </xf>
    <xf numFmtId="0" fontId="14" fillId="0" borderId="13" xfId="2" applyFont="1" applyBorder="1" applyAlignment="1">
      <alignment horizontal="center" vertical="center"/>
    </xf>
    <xf numFmtId="0" fontId="31" fillId="0" borderId="13" xfId="3" applyFont="1" applyBorder="1" applyAlignment="1" applyProtection="1">
      <alignment horizontal="center" vertical="center" wrapText="1"/>
    </xf>
    <xf numFmtId="0" fontId="26" fillId="0" borderId="15" xfId="2" applyFont="1" applyBorder="1" applyAlignment="1">
      <alignment horizontal="center" vertical="center" wrapText="1"/>
    </xf>
    <xf numFmtId="2" fontId="26" fillId="0" borderId="16" xfId="2" applyNumberFormat="1" applyFont="1" applyBorder="1" applyAlignment="1">
      <alignment horizontal="center" vertical="center" wrapText="1"/>
    </xf>
    <xf numFmtId="0" fontId="26" fillId="0" borderId="16" xfId="2" applyFont="1" applyBorder="1" applyAlignment="1">
      <alignment horizontal="center" vertical="center" wrapText="1"/>
    </xf>
    <xf numFmtId="4" fontId="26" fillId="0" borderId="16" xfId="2" applyNumberFormat="1" applyFont="1" applyBorder="1" applyAlignment="1">
      <alignment horizontal="center" vertical="center"/>
    </xf>
    <xf numFmtId="4" fontId="26" fillId="0" borderId="17" xfId="2" applyNumberFormat="1" applyFont="1" applyBorder="1" applyAlignment="1">
      <alignment horizontal="center" vertical="center"/>
    </xf>
    <xf numFmtId="0" fontId="26" fillId="0" borderId="17" xfId="2" applyFont="1" applyBorder="1" applyAlignment="1">
      <alignment horizontal="center" vertical="center" wrapText="1"/>
    </xf>
    <xf numFmtId="0" fontId="26" fillId="0" borderId="15" xfId="2" applyFont="1" applyBorder="1" applyAlignment="1">
      <alignment horizontal="center" vertical="center"/>
    </xf>
    <xf numFmtId="2" fontId="26" fillId="0" borderId="16" xfId="2" applyNumberFormat="1" applyFont="1" applyBorder="1" applyAlignment="1">
      <alignment horizontal="center" vertical="center"/>
    </xf>
    <xf numFmtId="0" fontId="26" fillId="0" borderId="16" xfId="2" applyFont="1" applyBorder="1" applyAlignment="1">
      <alignment horizontal="center" vertical="center"/>
    </xf>
    <xf numFmtId="4" fontId="15" fillId="0" borderId="21" xfId="2" applyNumberFormat="1" applyFont="1" applyBorder="1" applyAlignment="1">
      <alignment horizontal="center" vertical="center"/>
    </xf>
    <xf numFmtId="4" fontId="15" fillId="0" borderId="22" xfId="2" applyNumberFormat="1" applyFont="1" applyBorder="1" applyAlignment="1">
      <alignment horizontal="center" vertical="center"/>
    </xf>
    <xf numFmtId="4" fontId="15" fillId="0" borderId="0" xfId="2" applyNumberFormat="1" applyFont="1" applyAlignment="1">
      <alignment horizontal="center" vertical="center"/>
    </xf>
    <xf numFmtId="4" fontId="15" fillId="0" borderId="24" xfId="2" applyNumberFormat="1" applyFont="1" applyBorder="1" applyAlignment="1">
      <alignment horizontal="center" vertical="center"/>
    </xf>
    <xf numFmtId="2" fontId="6" fillId="0" borderId="20" xfId="2" applyNumberFormat="1" applyFont="1" applyBorder="1" applyAlignment="1">
      <alignment horizontal="center" vertical="center"/>
    </xf>
    <xf numFmtId="2" fontId="6" fillId="0" borderId="23" xfId="2" applyNumberFormat="1" applyFont="1" applyBorder="1" applyAlignment="1">
      <alignment horizontal="center" vertical="center"/>
    </xf>
    <xf numFmtId="0" fontId="34" fillId="0" borderId="0" xfId="2" applyFont="1" applyAlignment="1">
      <alignment horizontal="center" vertical="top"/>
    </xf>
    <xf numFmtId="0" fontId="9" fillId="0" borderId="0" xfId="2" applyFont="1" applyAlignment="1">
      <alignment horizontal="center" vertical="top"/>
    </xf>
    <xf numFmtId="0" fontId="33" fillId="0" borderId="0" xfId="2" applyFont="1" applyAlignment="1">
      <alignment horizontal="center"/>
    </xf>
    <xf numFmtId="0" fontId="26" fillId="0" borderId="22" xfId="2" applyFont="1" applyBorder="1" applyAlignment="1">
      <alignment horizontal="center" vertical="center"/>
    </xf>
    <xf numFmtId="0" fontId="26" fillId="0" borderId="14" xfId="2" applyFont="1" applyBorder="1" applyAlignment="1">
      <alignment horizontal="center" vertical="center" wrapText="1"/>
    </xf>
    <xf numFmtId="0" fontId="14" fillId="0" borderId="14" xfId="2" applyFont="1" applyBorder="1" applyAlignment="1">
      <alignment horizontal="center" vertical="center"/>
    </xf>
    <xf numFmtId="0" fontId="2" fillId="0" borderId="14" xfId="2" applyFont="1" applyBorder="1" applyAlignment="1">
      <alignment horizontal="center" vertical="center" wrapText="1"/>
    </xf>
    <xf numFmtId="0" fontId="29" fillId="0" borderId="14" xfId="2" applyFont="1" applyBorder="1" applyAlignment="1">
      <alignment horizontal="center" vertical="center"/>
    </xf>
    <xf numFmtId="0" fontId="30" fillId="0" borderId="14" xfId="2" applyFont="1" applyBorder="1" applyAlignment="1">
      <alignment horizontal="center" vertical="center"/>
    </xf>
    <xf numFmtId="0" fontId="31" fillId="0" borderId="14" xfId="3" applyFont="1" applyBorder="1" applyAlignment="1" applyProtection="1">
      <alignment horizontal="center" vertical="center"/>
    </xf>
    <xf numFmtId="0" fontId="26" fillId="0" borderId="20" xfId="2" applyFont="1" applyBorder="1" applyAlignment="1">
      <alignment horizontal="center" vertical="center"/>
    </xf>
    <xf numFmtId="2" fontId="26" fillId="0" borderId="0" xfId="2" applyNumberFormat="1" applyFont="1" applyAlignment="1">
      <alignment horizontal="center" vertical="center"/>
    </xf>
    <xf numFmtId="0" fontId="26" fillId="0" borderId="0" xfId="2" applyFont="1" applyAlignment="1">
      <alignment horizontal="center" vertical="center"/>
    </xf>
    <xf numFmtId="4" fontId="26" fillId="0" borderId="21" xfId="2" applyNumberFormat="1" applyFont="1" applyBorder="1" applyAlignment="1">
      <alignment horizontal="center" vertical="center"/>
    </xf>
    <xf numFmtId="4" fontId="26" fillId="0" borderId="22" xfId="2" applyNumberFormat="1" applyFont="1" applyBorder="1" applyAlignment="1">
      <alignment horizontal="center" vertical="center"/>
    </xf>
  </cellXfs>
  <cellStyles count="5">
    <cellStyle name="Excel Built-in Normal" xfId="1"/>
    <cellStyle name="Hyperlink" xfId="3" builtinId="8"/>
    <cellStyle name="Normal" xfId="0" builtinId="0"/>
    <cellStyle name="Normal 2" xfId="2"/>
    <cellStyle name="Normal_Request for Raw Material Price Monitoring" xfId="4"/>
  </cellStyles>
  <dxfs count="5">
    <dxf>
      <numFmt numFmtId="2" formatCode="0.00"/>
    </dxf>
    <dxf>
      <font>
        <b val="0"/>
        <i val="0"/>
        <color theme="0"/>
      </font>
    </dxf>
    <dxf>
      <font>
        <b val="0"/>
        <i val="0"/>
        <color theme="0"/>
      </font>
    </dxf>
    <dxf>
      <font>
        <b val="0"/>
        <i val="0"/>
        <color theme="0"/>
      </font>
    </dxf>
    <dxf>
      <fill>
        <patternFill patternType="solid">
          <bgColor rgb="FFFF85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140203</xdr:colOff>
      <xdr:row>0</xdr:row>
      <xdr:rowOff>65210</xdr:rowOff>
    </xdr:from>
    <xdr:ext cx="514350" cy="349112"/>
    <xdr:pic>
      <xdr:nvPicPr>
        <xdr:cNvPr id="3" name="Picture 1">
          <a:extLst>
            <a:ext uri="{FF2B5EF4-FFF2-40B4-BE49-F238E27FC236}">
              <a16:creationId xmlns="" xmlns:a16="http://schemas.microsoft.com/office/drawing/2014/main" id="{7E1F37A0-6C48-49A8-A79B-7FE24DE39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0203" y="65210"/>
          <a:ext cx="514350" cy="349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171450</xdr:colOff>
      <xdr:row>43</xdr:row>
      <xdr:rowOff>66675</xdr:rowOff>
    </xdr:from>
    <xdr:ext cx="514350" cy="349112"/>
    <xdr:pic>
      <xdr:nvPicPr>
        <xdr:cNvPr id="5" name="Picture 1">
          <a:extLst>
            <a:ext uri="{FF2B5EF4-FFF2-40B4-BE49-F238E27FC236}">
              <a16:creationId xmlns="" xmlns:a16="http://schemas.microsoft.com/office/drawing/2014/main" id="{0ED19439-B64C-4843-9C2E-608602E8E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1450" y="12801600"/>
          <a:ext cx="514350" cy="349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117022</xdr:colOff>
      <xdr:row>15</xdr:row>
      <xdr:rowOff>2720</xdr:rowOff>
    </xdr:from>
    <xdr:to>
      <xdr:col>18</xdr:col>
      <xdr:colOff>7320</xdr:colOff>
      <xdr:row>15</xdr:row>
      <xdr:rowOff>125231</xdr:rowOff>
    </xdr:to>
    <xdr:sp macro="" textlink="">
      <xdr:nvSpPr>
        <xdr:cNvPr id="7" name="Rectangle 6">
          <a:extLst>
            <a:ext uri="{FF2B5EF4-FFF2-40B4-BE49-F238E27FC236}">
              <a16:creationId xmlns="" xmlns:a16="http://schemas.microsoft.com/office/drawing/2014/main" id="{711DC345-F971-4608-9B7C-B4A37F22DBAB}"/>
            </a:ext>
          </a:extLst>
        </xdr:cNvPr>
        <xdr:cNvSpPr/>
      </xdr:nvSpPr>
      <xdr:spPr>
        <a:xfrm>
          <a:off x="6632122" y="3022145"/>
          <a:ext cx="147473" cy="122511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PH" sz="1100"/>
        </a:p>
      </xdr:txBody>
    </xdr:sp>
    <xdr:clientData/>
  </xdr:twoCellAnchor>
  <xdr:twoCellAnchor>
    <xdr:from>
      <xdr:col>19</xdr:col>
      <xdr:colOff>72118</xdr:colOff>
      <xdr:row>15</xdr:row>
      <xdr:rowOff>12245</xdr:rowOff>
    </xdr:from>
    <xdr:to>
      <xdr:col>19</xdr:col>
      <xdr:colOff>219591</xdr:colOff>
      <xdr:row>15</xdr:row>
      <xdr:rowOff>134756</xdr:rowOff>
    </xdr:to>
    <xdr:sp macro="" textlink="">
      <xdr:nvSpPr>
        <xdr:cNvPr id="8" name="Rectangle 7">
          <a:extLst>
            <a:ext uri="{FF2B5EF4-FFF2-40B4-BE49-F238E27FC236}">
              <a16:creationId xmlns="" xmlns:a16="http://schemas.microsoft.com/office/drawing/2014/main" id="{23A1EB49-74D9-4623-B837-456091044B64}"/>
            </a:ext>
          </a:extLst>
        </xdr:cNvPr>
        <xdr:cNvSpPr/>
      </xdr:nvSpPr>
      <xdr:spPr>
        <a:xfrm>
          <a:off x="7101568" y="3031670"/>
          <a:ext cx="147473" cy="122511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PH" sz="1100"/>
        </a:p>
      </xdr:txBody>
    </xdr:sp>
    <xdr:clientData/>
  </xdr:twoCellAnchor>
  <xdr:twoCellAnchor>
    <xdr:from>
      <xdr:col>17</xdr:col>
      <xdr:colOff>253892</xdr:colOff>
      <xdr:row>14</xdr:row>
      <xdr:rowOff>113029</xdr:rowOff>
    </xdr:from>
    <xdr:to>
      <xdr:col>18</xdr:col>
      <xdr:colOff>239487</xdr:colOff>
      <xdr:row>16</xdr:row>
      <xdr:rowOff>27632</xdr:rowOff>
    </xdr:to>
    <xdr:sp macro="" textlink="">
      <xdr:nvSpPr>
        <xdr:cNvPr id="9" name="Rectangle 8">
          <a:extLst>
            <a:ext uri="{FF2B5EF4-FFF2-40B4-BE49-F238E27FC236}">
              <a16:creationId xmlns="" xmlns:a16="http://schemas.microsoft.com/office/drawing/2014/main" id="{AF5A5601-597B-45B4-B3E6-5F32A5F06504}"/>
            </a:ext>
          </a:extLst>
        </xdr:cNvPr>
        <xdr:cNvSpPr/>
      </xdr:nvSpPr>
      <xdr:spPr>
        <a:xfrm>
          <a:off x="6768992" y="2922904"/>
          <a:ext cx="242770" cy="33370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PH" sz="800" i="1">
              <a:solidFill>
                <a:sysClr val="windowText" lastClr="000000"/>
              </a:solidFill>
              <a:latin typeface="Arial" pitchFamily="7" charset="0"/>
              <a:cs typeface="Arial" pitchFamily="7" charset="0"/>
            </a:rPr>
            <a:t>Yes</a:t>
          </a:r>
        </a:p>
      </xdr:txBody>
    </xdr:sp>
    <xdr:clientData/>
  </xdr:twoCellAnchor>
  <xdr:twoCellAnchor>
    <xdr:from>
      <xdr:col>19</xdr:col>
      <xdr:colOff>210349</xdr:colOff>
      <xdr:row>14</xdr:row>
      <xdr:rowOff>113029</xdr:rowOff>
    </xdr:from>
    <xdr:to>
      <xdr:col>20</xdr:col>
      <xdr:colOff>190501</xdr:colOff>
      <xdr:row>16</xdr:row>
      <xdr:rowOff>27632</xdr:rowOff>
    </xdr:to>
    <xdr:sp macro="" textlink="">
      <xdr:nvSpPr>
        <xdr:cNvPr id="10" name="Rectangle 9">
          <a:extLst>
            <a:ext uri="{FF2B5EF4-FFF2-40B4-BE49-F238E27FC236}">
              <a16:creationId xmlns="" xmlns:a16="http://schemas.microsoft.com/office/drawing/2014/main" id="{2CB56B76-592C-4A90-AE51-F32E4D719772}"/>
            </a:ext>
          </a:extLst>
        </xdr:cNvPr>
        <xdr:cNvSpPr/>
      </xdr:nvSpPr>
      <xdr:spPr>
        <a:xfrm>
          <a:off x="7239799" y="2922904"/>
          <a:ext cx="237327" cy="33370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PH" sz="800" i="1">
              <a:solidFill>
                <a:sysClr val="windowText" lastClr="000000"/>
              </a:solidFill>
              <a:latin typeface="Arial" pitchFamily="7" charset="0"/>
              <a:cs typeface="Arial" pitchFamily="7" charset="0"/>
            </a:rPr>
            <a:t>No</a:t>
          </a:r>
        </a:p>
      </xdr:txBody>
    </xdr:sp>
    <xdr:clientData/>
  </xdr:twoCellAnchor>
  <xdr:twoCellAnchor>
    <xdr:from>
      <xdr:col>17</xdr:col>
      <xdr:colOff>75009</xdr:colOff>
      <xdr:row>14</xdr:row>
      <xdr:rowOff>113029</xdr:rowOff>
    </xdr:from>
    <xdr:to>
      <xdr:col>18</xdr:col>
      <xdr:colOff>43544</xdr:colOff>
      <xdr:row>16</xdr:row>
      <xdr:rowOff>27632</xdr:rowOff>
    </xdr:to>
    <xdr:sp macro="" textlink="">
      <xdr:nvSpPr>
        <xdr:cNvPr id="11" name="Rectangle 10">
          <a:extLst>
            <a:ext uri="{FF2B5EF4-FFF2-40B4-BE49-F238E27FC236}">
              <a16:creationId xmlns="" xmlns:a16="http://schemas.microsoft.com/office/drawing/2014/main" id="{7ECEE7C5-6A6E-4CE0-ACED-7D2EF1280F40}"/>
            </a:ext>
          </a:extLst>
        </xdr:cNvPr>
        <xdr:cNvSpPr/>
      </xdr:nvSpPr>
      <xdr:spPr>
        <a:xfrm>
          <a:off x="6590109" y="2922904"/>
          <a:ext cx="225710" cy="33370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PH" sz="1000">
              <a:solidFill>
                <a:sysClr val="windowText" lastClr="000000"/>
              </a:solidFill>
              <a:latin typeface="Arial" pitchFamily="7" charset="0"/>
              <a:cs typeface="Arial" pitchFamily="7" charset="0"/>
              <a:sym typeface="Wingdings 2" pitchFamily="7" charset="2"/>
            </a:rPr>
            <a:t></a:t>
          </a:r>
          <a:endParaRPr lang="en-PH" sz="1000">
            <a:solidFill>
              <a:sysClr val="windowText" lastClr="000000"/>
            </a:solidFill>
            <a:latin typeface="Arial" pitchFamily="7" charset="0"/>
            <a:cs typeface="Arial" pitchFamily="7" charset="0"/>
          </a:endParaRPr>
        </a:p>
      </xdr:txBody>
    </xdr:sp>
    <xdr:clientData/>
  </xdr:twoCellAnchor>
  <xdr:twoCellAnchor>
    <xdr:from>
      <xdr:col>19</xdr:col>
      <xdr:colOff>46850</xdr:colOff>
      <xdr:row>14</xdr:row>
      <xdr:rowOff>109467</xdr:rowOff>
    </xdr:from>
    <xdr:to>
      <xdr:col>19</xdr:col>
      <xdr:colOff>223158</xdr:colOff>
      <xdr:row>16</xdr:row>
      <xdr:rowOff>22606</xdr:rowOff>
    </xdr:to>
    <xdr:sp macro="" textlink="">
      <xdr:nvSpPr>
        <xdr:cNvPr id="12" name="Rectangle 11">
          <a:extLst>
            <a:ext uri="{FF2B5EF4-FFF2-40B4-BE49-F238E27FC236}">
              <a16:creationId xmlns="" xmlns:a16="http://schemas.microsoft.com/office/drawing/2014/main" id="{925194C2-AEBA-43EC-889B-9DE48862DCBA}"/>
            </a:ext>
          </a:extLst>
        </xdr:cNvPr>
        <xdr:cNvSpPr/>
      </xdr:nvSpPr>
      <xdr:spPr>
        <a:xfrm>
          <a:off x="7076300" y="2919342"/>
          <a:ext cx="176308" cy="332239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PH" sz="700">
              <a:solidFill>
                <a:sysClr val="windowText" lastClr="000000"/>
              </a:solidFill>
              <a:latin typeface="Arial" pitchFamily="7" charset="0"/>
              <a:cs typeface="Arial" pitchFamily="7" charset="0"/>
              <a:sym typeface="Wingdings 2" pitchFamily="7" charset="2"/>
            </a:rPr>
            <a:t>X</a:t>
          </a:r>
          <a:endParaRPr lang="en-PH" sz="700">
            <a:solidFill>
              <a:sysClr val="windowText" lastClr="000000"/>
            </a:solidFill>
            <a:latin typeface="Arial" pitchFamily="7" charset="0"/>
            <a:cs typeface="Arial" pitchFamily="7" charset="0"/>
          </a:endParaRPr>
        </a:p>
      </xdr:txBody>
    </xdr:sp>
    <xdr:clientData/>
  </xdr:twoCellAnchor>
  <xdr:twoCellAnchor>
    <xdr:from>
      <xdr:col>72</xdr:col>
      <xdr:colOff>450478</xdr:colOff>
      <xdr:row>8</xdr:row>
      <xdr:rowOff>19049</xdr:rowOff>
    </xdr:from>
    <xdr:to>
      <xdr:col>80</xdr:col>
      <xdr:colOff>9526</xdr:colOff>
      <xdr:row>8</xdr:row>
      <xdr:rowOff>209550</xdr:rowOff>
    </xdr:to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E852E4E2-8CF5-4FD9-91D7-5BDC824A3D90}"/>
            </a:ext>
          </a:extLst>
        </xdr:cNvPr>
        <xdr:cNvSpPr txBox="1"/>
      </xdr:nvSpPr>
      <xdr:spPr>
        <a:xfrm>
          <a:off x="27187713" y="1744755"/>
          <a:ext cx="3862107" cy="190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1">
              <a:latin typeface="Arial" pitchFamily="7" charset="0"/>
              <a:cs typeface="Arial" pitchFamily="7" charset="0"/>
            </a:rPr>
            <a:t>APS </a:t>
          </a:r>
          <a:r>
            <a:rPr lang="en-US" sz="900" i="1">
              <a:latin typeface="Arial" pitchFamily="7" charset="0"/>
              <a:cs typeface="Arial" pitchFamily="7" charset="0"/>
            </a:rPr>
            <a:t>- APPLICATOR PARTS AND </a:t>
          </a:r>
          <a:r>
            <a:rPr lang="en-US" sz="1000" i="1">
              <a:latin typeface="Arial" pitchFamily="7" charset="0"/>
              <a:cs typeface="Arial" pitchFamily="7" charset="0"/>
            </a:rPr>
            <a:t>SUPPLIES</a:t>
          </a:r>
        </a:p>
      </xdr:txBody>
    </xdr:sp>
    <xdr:clientData/>
  </xdr:twoCellAnchor>
  <xdr:twoCellAnchor>
    <xdr:from>
      <xdr:col>72</xdr:col>
      <xdr:colOff>450479</xdr:colOff>
      <xdr:row>8</xdr:row>
      <xdr:rowOff>161925</xdr:rowOff>
    </xdr:from>
    <xdr:to>
      <xdr:col>78</xdr:col>
      <xdr:colOff>5605</xdr:colOff>
      <xdr:row>9</xdr:row>
      <xdr:rowOff>28574</xdr:rowOff>
    </xdr:to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1510F04A-8BD5-487C-ADBD-BAB04295AB7E}"/>
            </a:ext>
          </a:extLst>
        </xdr:cNvPr>
        <xdr:cNvSpPr txBox="1"/>
      </xdr:nvSpPr>
      <xdr:spPr>
        <a:xfrm>
          <a:off x="27187714" y="1887631"/>
          <a:ext cx="2782420" cy="1804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1">
              <a:latin typeface="Arial" pitchFamily="7" charset="0"/>
              <a:cs typeface="Arial" pitchFamily="7" charset="0"/>
            </a:rPr>
            <a:t>FF</a:t>
          </a:r>
          <a:r>
            <a:rPr lang="en-US" sz="900" i="1">
              <a:latin typeface="Arial" pitchFamily="7" charset="0"/>
              <a:cs typeface="Arial" pitchFamily="7" charset="0"/>
            </a:rPr>
            <a:t>   -  FURNITURES &amp; FIXTURE</a:t>
          </a:r>
        </a:p>
      </xdr:txBody>
    </xdr:sp>
    <xdr:clientData/>
  </xdr:twoCellAnchor>
  <xdr:twoCellAnchor>
    <xdr:from>
      <xdr:col>28</xdr:col>
      <xdr:colOff>123826</xdr:colOff>
      <xdr:row>7</xdr:row>
      <xdr:rowOff>190500</xdr:rowOff>
    </xdr:from>
    <xdr:to>
      <xdr:col>36</xdr:col>
      <xdr:colOff>104776</xdr:colOff>
      <xdr:row>8</xdr:row>
      <xdr:rowOff>57149</xdr:rowOff>
    </xdr:to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AD53EF47-830C-4BC5-9156-7AF4F0AD2708}"/>
            </a:ext>
          </a:extLst>
        </xdr:cNvPr>
        <xdr:cNvSpPr txBox="1"/>
      </xdr:nvSpPr>
      <xdr:spPr>
        <a:xfrm>
          <a:off x="10029826" y="1619250"/>
          <a:ext cx="2895600" cy="1809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i="1">
            <a:latin typeface="Arial" pitchFamily="7" charset="0"/>
            <a:cs typeface="Arial" pitchFamily="7" charset="0"/>
          </a:endParaRPr>
        </a:p>
      </xdr:txBody>
    </xdr:sp>
    <xdr:clientData/>
  </xdr:twoCellAnchor>
  <xdr:twoCellAnchor>
    <xdr:from>
      <xdr:col>28</xdr:col>
      <xdr:colOff>123826</xdr:colOff>
      <xdr:row>8</xdr:row>
      <xdr:rowOff>9524</xdr:rowOff>
    </xdr:from>
    <xdr:to>
      <xdr:col>37</xdr:col>
      <xdr:colOff>28575</xdr:colOff>
      <xdr:row>8</xdr:row>
      <xdr:rowOff>190500</xdr:rowOff>
    </xdr:to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F2AE5C25-49D7-4027-B641-C747F4F8309C}"/>
            </a:ext>
          </a:extLst>
        </xdr:cNvPr>
        <xdr:cNvSpPr txBox="1"/>
      </xdr:nvSpPr>
      <xdr:spPr>
        <a:xfrm>
          <a:off x="10029826" y="1752599"/>
          <a:ext cx="3495674" cy="180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i="1">
            <a:latin typeface="Arial" pitchFamily="7" charset="0"/>
            <a:cs typeface="Arial" pitchFamily="7" charset="0"/>
          </a:endParaRPr>
        </a:p>
      </xdr:txBody>
    </xdr:sp>
    <xdr:clientData/>
  </xdr:twoCellAnchor>
  <xdr:twoCellAnchor>
    <xdr:from>
      <xdr:col>28</xdr:col>
      <xdr:colOff>123825</xdr:colOff>
      <xdr:row>8</xdr:row>
      <xdr:rowOff>142873</xdr:rowOff>
    </xdr:from>
    <xdr:to>
      <xdr:col>36</xdr:col>
      <xdr:colOff>257174</xdr:colOff>
      <xdr:row>9</xdr:row>
      <xdr:rowOff>9523</xdr:rowOff>
    </xdr:to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9B9F679A-B7E0-4877-B263-D8ECA5BBD54E}"/>
            </a:ext>
          </a:extLst>
        </xdr:cNvPr>
        <xdr:cNvSpPr txBox="1"/>
      </xdr:nvSpPr>
      <xdr:spPr>
        <a:xfrm>
          <a:off x="10029825" y="1885948"/>
          <a:ext cx="3047999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000" i="1">
            <a:latin typeface="Arial" pitchFamily="7" charset="0"/>
            <a:cs typeface="Arial" pitchFamily="7" charset="0"/>
          </a:endParaRPr>
        </a:p>
      </xdr:txBody>
    </xdr:sp>
    <xdr:clientData/>
  </xdr:twoCellAnchor>
  <xdr:twoCellAnchor>
    <xdr:from>
      <xdr:col>17</xdr:col>
      <xdr:colOff>136072</xdr:colOff>
      <xdr:row>57</xdr:row>
      <xdr:rowOff>136070</xdr:rowOff>
    </xdr:from>
    <xdr:to>
      <xdr:col>18</xdr:col>
      <xdr:colOff>26370</xdr:colOff>
      <xdr:row>58</xdr:row>
      <xdr:rowOff>106181</xdr:rowOff>
    </xdr:to>
    <xdr:sp macro="" textlink="">
      <xdr:nvSpPr>
        <xdr:cNvPr id="26" name="Rectangle 25">
          <a:extLst>
            <a:ext uri="{FF2B5EF4-FFF2-40B4-BE49-F238E27FC236}">
              <a16:creationId xmlns="" xmlns:a16="http://schemas.microsoft.com/office/drawing/2014/main" id="{DE8E158A-1ADD-4E6F-8C02-2F62E905C415}"/>
            </a:ext>
          </a:extLst>
        </xdr:cNvPr>
        <xdr:cNvSpPr/>
      </xdr:nvSpPr>
      <xdr:spPr>
        <a:xfrm>
          <a:off x="6651172" y="15623720"/>
          <a:ext cx="147473" cy="122511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PH" sz="1100"/>
        </a:p>
      </xdr:txBody>
    </xdr:sp>
    <xdr:clientData/>
  </xdr:twoCellAnchor>
  <xdr:twoCellAnchor>
    <xdr:from>
      <xdr:col>19</xdr:col>
      <xdr:colOff>91168</xdr:colOff>
      <xdr:row>57</xdr:row>
      <xdr:rowOff>145595</xdr:rowOff>
    </xdr:from>
    <xdr:to>
      <xdr:col>19</xdr:col>
      <xdr:colOff>238641</xdr:colOff>
      <xdr:row>58</xdr:row>
      <xdr:rowOff>115706</xdr:rowOff>
    </xdr:to>
    <xdr:sp macro="" textlink="">
      <xdr:nvSpPr>
        <xdr:cNvPr id="27" name="Rectangle 26">
          <a:extLst>
            <a:ext uri="{FF2B5EF4-FFF2-40B4-BE49-F238E27FC236}">
              <a16:creationId xmlns="" xmlns:a16="http://schemas.microsoft.com/office/drawing/2014/main" id="{3BC5D3BE-7880-43D4-83CD-39B65568A6B9}"/>
            </a:ext>
          </a:extLst>
        </xdr:cNvPr>
        <xdr:cNvSpPr/>
      </xdr:nvSpPr>
      <xdr:spPr>
        <a:xfrm>
          <a:off x="7120618" y="15633245"/>
          <a:ext cx="147473" cy="122511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PH" sz="1100"/>
        </a:p>
      </xdr:txBody>
    </xdr:sp>
    <xdr:clientData/>
  </xdr:twoCellAnchor>
  <xdr:twoCellAnchor>
    <xdr:from>
      <xdr:col>18</xdr:col>
      <xdr:colOff>15767</xdr:colOff>
      <xdr:row>57</xdr:row>
      <xdr:rowOff>93979</xdr:rowOff>
    </xdr:from>
    <xdr:to>
      <xdr:col>19</xdr:col>
      <xdr:colOff>1362</xdr:colOff>
      <xdr:row>59</xdr:row>
      <xdr:rowOff>8582</xdr:rowOff>
    </xdr:to>
    <xdr:sp macro="" textlink="">
      <xdr:nvSpPr>
        <xdr:cNvPr id="28" name="Rectangle 27">
          <a:extLst>
            <a:ext uri="{FF2B5EF4-FFF2-40B4-BE49-F238E27FC236}">
              <a16:creationId xmlns="" xmlns:a16="http://schemas.microsoft.com/office/drawing/2014/main" id="{CA9C5B37-EFDD-47F6-A265-981DAC208610}"/>
            </a:ext>
          </a:extLst>
        </xdr:cNvPr>
        <xdr:cNvSpPr/>
      </xdr:nvSpPr>
      <xdr:spPr>
        <a:xfrm>
          <a:off x="6788042" y="15581629"/>
          <a:ext cx="242770" cy="21940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PH" sz="800" i="1">
              <a:solidFill>
                <a:sysClr val="windowText" lastClr="000000"/>
              </a:solidFill>
              <a:latin typeface="Arial" pitchFamily="7" charset="0"/>
              <a:cs typeface="Arial" pitchFamily="7" charset="0"/>
            </a:rPr>
            <a:t>Yes</a:t>
          </a:r>
        </a:p>
      </xdr:txBody>
    </xdr:sp>
    <xdr:clientData/>
  </xdr:twoCellAnchor>
  <xdr:twoCellAnchor>
    <xdr:from>
      <xdr:col>19</xdr:col>
      <xdr:colOff>229399</xdr:colOff>
      <xdr:row>57</xdr:row>
      <xdr:rowOff>93979</xdr:rowOff>
    </xdr:from>
    <xdr:to>
      <xdr:col>20</xdr:col>
      <xdr:colOff>209551</xdr:colOff>
      <xdr:row>59</xdr:row>
      <xdr:rowOff>8582</xdr:rowOff>
    </xdr:to>
    <xdr:sp macro="" textlink="">
      <xdr:nvSpPr>
        <xdr:cNvPr id="29" name="Rectangle 28">
          <a:extLst>
            <a:ext uri="{FF2B5EF4-FFF2-40B4-BE49-F238E27FC236}">
              <a16:creationId xmlns="" xmlns:a16="http://schemas.microsoft.com/office/drawing/2014/main" id="{2C16CB52-AC61-4F89-A926-1EBC39D64AF6}"/>
            </a:ext>
          </a:extLst>
        </xdr:cNvPr>
        <xdr:cNvSpPr/>
      </xdr:nvSpPr>
      <xdr:spPr>
        <a:xfrm>
          <a:off x="7258849" y="15581629"/>
          <a:ext cx="237327" cy="21940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PH" sz="800" i="1">
              <a:solidFill>
                <a:sysClr val="windowText" lastClr="000000"/>
              </a:solidFill>
              <a:latin typeface="Arial" pitchFamily="7" charset="0"/>
              <a:cs typeface="Arial" pitchFamily="7" charset="0"/>
            </a:rPr>
            <a:t>No</a:t>
          </a:r>
        </a:p>
      </xdr:txBody>
    </xdr:sp>
    <xdr:clientData/>
  </xdr:twoCellAnchor>
  <xdr:twoCellAnchor>
    <xdr:from>
      <xdr:col>17</xdr:col>
      <xdr:colOff>86750</xdr:colOff>
      <xdr:row>57</xdr:row>
      <xdr:rowOff>88133</xdr:rowOff>
    </xdr:from>
    <xdr:to>
      <xdr:col>18</xdr:col>
      <xdr:colOff>55285</xdr:colOff>
      <xdr:row>59</xdr:row>
      <xdr:rowOff>10532</xdr:rowOff>
    </xdr:to>
    <xdr:sp macro="" textlink="">
      <xdr:nvSpPr>
        <xdr:cNvPr id="30" name="Rectangle 29">
          <a:extLst>
            <a:ext uri="{FF2B5EF4-FFF2-40B4-BE49-F238E27FC236}">
              <a16:creationId xmlns="" xmlns:a16="http://schemas.microsoft.com/office/drawing/2014/main" id="{EF1F7EEE-B9E3-4535-8A46-D4B48692136D}"/>
            </a:ext>
          </a:extLst>
        </xdr:cNvPr>
        <xdr:cNvSpPr/>
      </xdr:nvSpPr>
      <xdr:spPr>
        <a:xfrm>
          <a:off x="6601850" y="15575783"/>
          <a:ext cx="225710" cy="227199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PH" sz="1000">
              <a:solidFill>
                <a:sysClr val="windowText" lastClr="000000"/>
              </a:solidFill>
              <a:latin typeface="Arial" pitchFamily="7" charset="0"/>
              <a:cs typeface="Arial" pitchFamily="7" charset="0"/>
              <a:sym typeface="Wingdings 2" pitchFamily="7" charset="2"/>
            </a:rPr>
            <a:t></a:t>
          </a:r>
          <a:endParaRPr lang="en-PH" sz="1000">
            <a:solidFill>
              <a:sysClr val="windowText" lastClr="000000"/>
            </a:solidFill>
            <a:latin typeface="Arial" pitchFamily="7" charset="0"/>
            <a:cs typeface="Arial" pitchFamily="7" charset="0"/>
          </a:endParaRPr>
        </a:p>
      </xdr:txBody>
    </xdr:sp>
    <xdr:clientData/>
  </xdr:twoCellAnchor>
  <xdr:twoCellAnchor>
    <xdr:from>
      <xdr:col>19</xdr:col>
      <xdr:colOff>65900</xdr:colOff>
      <xdr:row>57</xdr:row>
      <xdr:rowOff>90417</xdr:rowOff>
    </xdr:from>
    <xdr:to>
      <xdr:col>19</xdr:col>
      <xdr:colOff>242208</xdr:colOff>
      <xdr:row>59</xdr:row>
      <xdr:rowOff>3556</xdr:rowOff>
    </xdr:to>
    <xdr:sp macro="" textlink="">
      <xdr:nvSpPr>
        <xdr:cNvPr id="31" name="Rectangle 30">
          <a:extLst>
            <a:ext uri="{FF2B5EF4-FFF2-40B4-BE49-F238E27FC236}">
              <a16:creationId xmlns="" xmlns:a16="http://schemas.microsoft.com/office/drawing/2014/main" id="{14A50793-F0B7-4655-B2B5-528EFD5B0FF6}"/>
            </a:ext>
          </a:extLst>
        </xdr:cNvPr>
        <xdr:cNvSpPr/>
      </xdr:nvSpPr>
      <xdr:spPr>
        <a:xfrm>
          <a:off x="7095350" y="15578067"/>
          <a:ext cx="176308" cy="217939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PH" sz="700">
              <a:solidFill>
                <a:sysClr val="windowText" lastClr="000000"/>
              </a:solidFill>
              <a:latin typeface="Arial" pitchFamily="7" charset="0"/>
              <a:cs typeface="Arial" pitchFamily="7" charset="0"/>
              <a:sym typeface="Wingdings 2" pitchFamily="7" charset="2"/>
            </a:rPr>
            <a:t>X</a:t>
          </a:r>
          <a:endParaRPr lang="en-PH" sz="700">
            <a:solidFill>
              <a:sysClr val="windowText" lastClr="000000"/>
            </a:solidFill>
            <a:latin typeface="Arial" pitchFamily="7" charset="0"/>
            <a:cs typeface="Arial" pitchFamily="7" charset="0"/>
          </a:endParaRPr>
        </a:p>
      </xdr:txBody>
    </xdr:sp>
    <xdr:clientData/>
  </xdr:twoCellAnchor>
  <xdr:twoCellAnchor editAs="oneCell">
    <xdr:from>
      <xdr:col>3</xdr:col>
      <xdr:colOff>108857</xdr:colOff>
      <xdr:row>7</xdr:row>
      <xdr:rowOff>42567</xdr:rowOff>
    </xdr:from>
    <xdr:to>
      <xdr:col>31</xdr:col>
      <xdr:colOff>639536</xdr:colOff>
      <xdr:row>10</xdr:row>
      <xdr:rowOff>4082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8057" y="1471317"/>
          <a:ext cx="10265229" cy="647315"/>
        </a:xfrm>
        <a:prstGeom prst="rect">
          <a:avLst/>
        </a:prstGeom>
      </xdr:spPr>
    </xdr:pic>
    <xdr:clientData/>
  </xdr:twoCellAnchor>
  <xdr:twoCellAnchor editAs="oneCell">
    <xdr:from>
      <xdr:col>14</xdr:col>
      <xdr:colOff>183172</xdr:colOff>
      <xdr:row>5</xdr:row>
      <xdr:rowOff>34527</xdr:rowOff>
    </xdr:from>
    <xdr:to>
      <xdr:col>24</xdr:col>
      <xdr:colOff>139211</xdr:colOff>
      <xdr:row>7</xdr:row>
      <xdr:rowOff>27200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6576" y="943065"/>
          <a:ext cx="3018693" cy="505558"/>
        </a:xfrm>
        <a:prstGeom prst="rect">
          <a:avLst/>
        </a:prstGeom>
      </xdr:spPr>
    </xdr:pic>
    <xdr:clientData/>
  </xdr:twoCellAnchor>
  <xdr:twoCellAnchor editAs="oneCell">
    <xdr:from>
      <xdr:col>3</xdr:col>
      <xdr:colOff>168088</xdr:colOff>
      <xdr:row>50</xdr:row>
      <xdr:rowOff>56029</xdr:rowOff>
    </xdr:from>
    <xdr:to>
      <xdr:col>31</xdr:col>
      <xdr:colOff>376683</xdr:colOff>
      <xdr:row>52</xdr:row>
      <xdr:rowOff>48186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529" y="14197853"/>
          <a:ext cx="9957713" cy="619686"/>
        </a:xfrm>
        <a:prstGeom prst="rect">
          <a:avLst/>
        </a:prstGeom>
      </xdr:spPr>
    </xdr:pic>
    <xdr:clientData/>
  </xdr:twoCellAnchor>
  <xdr:twoCellAnchor editAs="oneCell">
    <xdr:from>
      <xdr:col>14</xdr:col>
      <xdr:colOff>212479</xdr:colOff>
      <xdr:row>48</xdr:row>
      <xdr:rowOff>36635</xdr:rowOff>
    </xdr:from>
    <xdr:to>
      <xdr:col>23</xdr:col>
      <xdr:colOff>223489</xdr:colOff>
      <xdr:row>50</xdr:row>
      <xdr:rowOff>92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65883" y="13716000"/>
          <a:ext cx="2817221" cy="4763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g1.HAYAKAWA/Desktop/04.%20PRS/2026/PR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REQUEST ITEM"/>
      <sheetName val="Sheet2"/>
      <sheetName val="PRS FORM"/>
      <sheetName val="PRS MONITORING"/>
      <sheetName val="PRS WITH JRF"/>
      <sheetName val="COMMON MATERIALS"/>
      <sheetName val="Calendar"/>
      <sheetName val="Sheet1"/>
      <sheetName val="PRS 2"/>
      <sheetName val="PRS"/>
    </sheetNames>
    <sheetDataSet>
      <sheetData sheetId="0" refreshError="1"/>
      <sheetData sheetId="1" refreshError="1">
        <row r="1">
          <cell r="C1" t="str">
            <v>JIG Supplies Purchase 
Requisition
POD-JIG Department
YEAR 2026</v>
          </cell>
        </row>
        <row r="3">
          <cell r="E3" t="str">
            <v>JIG26-01-0001 COMMON MATERIALS1</v>
          </cell>
          <cell r="F3" t="str">
            <v>JIG</v>
          </cell>
          <cell r="G3" t="str">
            <v>AIRHOSE END CUP</v>
          </cell>
          <cell r="H3" t="str">
            <v>PPF6 WHITE</v>
          </cell>
          <cell r="I3" t="str">
            <v>SHOPEE</v>
          </cell>
          <cell r="J3" t="str">
            <v>PHP</v>
          </cell>
          <cell r="K3">
            <v>21</v>
          </cell>
          <cell r="L3" t="str">
            <v>PC</v>
          </cell>
          <cell r="M3" t="str">
            <v>Ms. Carla</v>
          </cell>
          <cell r="N3" t="str">
            <v>Maintenance Parts &amp; Supplies</v>
          </cell>
        </row>
        <row r="4">
          <cell r="E4" t="str">
            <v>JIG26-01-0002 COMMON MATERIALS1</v>
          </cell>
          <cell r="F4" t="str">
            <v>JIG</v>
          </cell>
          <cell r="G4" t="str">
            <v>ACETAL SHEETS</v>
          </cell>
          <cell r="H4" t="str">
            <v>6MM 1FT X 1FT</v>
          </cell>
          <cell r="I4" t="str">
            <v>ANY</v>
          </cell>
          <cell r="J4" t="str">
            <v>PHP</v>
          </cell>
          <cell r="K4">
            <v>1040</v>
          </cell>
          <cell r="L4" t="str">
            <v>PC</v>
          </cell>
          <cell r="M4" t="str">
            <v>Mr. Mark Agno</v>
          </cell>
          <cell r="N4" t="str">
            <v>Maintenance Parts &amp; Supplies</v>
          </cell>
        </row>
        <row r="5">
          <cell r="E5" t="str">
            <v>JIG26-01-0002 COMMON MATERIALS2</v>
          </cell>
          <cell r="F5" t="str">
            <v>JIG</v>
          </cell>
          <cell r="G5" t="str">
            <v>ACETAL SHEETS</v>
          </cell>
          <cell r="H5" t="str">
            <v>10MM 1FT X 1FT</v>
          </cell>
          <cell r="I5" t="str">
            <v>ANY</v>
          </cell>
          <cell r="J5" t="str">
            <v>PHP</v>
          </cell>
          <cell r="K5">
            <v>1268</v>
          </cell>
          <cell r="L5" t="str">
            <v>PC</v>
          </cell>
          <cell r="M5" t="str">
            <v>Mr. Mark Agno</v>
          </cell>
          <cell r="N5" t="str">
            <v>Maintenance Parts &amp; Supplies</v>
          </cell>
        </row>
        <row r="6">
          <cell r="E6" t="str">
            <v>JIG26-01-0003 COMMON MATERIALS1</v>
          </cell>
          <cell r="F6" t="str">
            <v>JIG</v>
          </cell>
          <cell r="G6" t="str">
            <v>TOGGLE CLAMP</v>
          </cell>
          <cell r="H6" t="str">
            <v>HV-150</v>
          </cell>
          <cell r="I6" t="str">
            <v>VLCR</v>
          </cell>
          <cell r="J6" t="str">
            <v>PHP</v>
          </cell>
          <cell r="K6">
            <v>790</v>
          </cell>
          <cell r="L6" t="str">
            <v>PC</v>
          </cell>
          <cell r="M6" t="str">
            <v>Mr. Mark Agno</v>
          </cell>
          <cell r="N6" t="str">
            <v>Maintenance Parts &amp; Supplies</v>
          </cell>
        </row>
        <row r="7">
          <cell r="E7" t="str">
            <v>JIG26-01-0004 COMMON MATERIALS1</v>
          </cell>
          <cell r="F7" t="str">
            <v>JIG</v>
          </cell>
          <cell r="G7" t="str">
            <v>FITTINGS</v>
          </cell>
          <cell r="H7" t="str">
            <v>KQ2S04-M5A</v>
          </cell>
          <cell r="I7" t="str">
            <v>ANY</v>
          </cell>
          <cell r="J7" t="str">
            <v>PHP</v>
          </cell>
          <cell r="K7">
            <v>184</v>
          </cell>
          <cell r="L7" t="str">
            <v>PC</v>
          </cell>
          <cell r="M7" t="str">
            <v>Mr. Mark Agno</v>
          </cell>
          <cell r="N7" t="str">
            <v>Maintenance Parts &amp; Supplies</v>
          </cell>
        </row>
        <row r="8">
          <cell r="E8" t="str">
            <v>JIG26-01-0005 COMMON MATERIALS1</v>
          </cell>
          <cell r="F8" t="str">
            <v>JIG</v>
          </cell>
          <cell r="G8" t="str">
            <v xml:space="preserve">MICRO SWITCH </v>
          </cell>
          <cell r="H8" t="str">
            <v>P336-01</v>
          </cell>
          <cell r="I8" t="str">
            <v>ANY</v>
          </cell>
          <cell r="J8" t="str">
            <v>PHP</v>
          </cell>
          <cell r="K8">
            <v>25</v>
          </cell>
          <cell r="L8" t="str">
            <v>PC</v>
          </cell>
          <cell r="M8" t="str">
            <v>Mr. Mark Agno</v>
          </cell>
          <cell r="N8" t="str">
            <v>Maintenance Parts &amp; Supplies</v>
          </cell>
        </row>
        <row r="9">
          <cell r="E9" t="str">
            <v>JIG26-01-0005 COMMON MATERIALS2</v>
          </cell>
          <cell r="G9" t="str">
            <v>FLAG SHAPED PLUG SPRING</v>
          </cell>
          <cell r="H9" t="str">
            <v>2.8MM</v>
          </cell>
          <cell r="I9" t="str">
            <v>SHOPPEE</v>
          </cell>
          <cell r="J9" t="str">
            <v>PHP</v>
          </cell>
          <cell r="K9">
            <v>120</v>
          </cell>
          <cell r="L9" t="str">
            <v>SET</v>
          </cell>
          <cell r="M9" t="str">
            <v>Ms. Carla</v>
          </cell>
          <cell r="N9" t="str">
            <v>Maintenance Parts &amp; Supplies</v>
          </cell>
        </row>
        <row r="10">
          <cell r="E10" t="str">
            <v>JIG26-01-0006 COMMON MATERIALS1</v>
          </cell>
          <cell r="G10" t="str">
            <v>MAGNET</v>
          </cell>
          <cell r="H10" t="str">
            <v>10MM X 10MM X 2MM</v>
          </cell>
          <cell r="I10" t="str">
            <v>ANY</v>
          </cell>
          <cell r="J10" t="str">
            <v>PHP</v>
          </cell>
          <cell r="K10">
            <v>16</v>
          </cell>
          <cell r="L10" t="str">
            <v>PC</v>
          </cell>
          <cell r="M10" t="str">
            <v>Ms. Carla</v>
          </cell>
          <cell r="N10" t="str">
            <v>Maintenance Parts &amp; Supplies</v>
          </cell>
        </row>
        <row r="11">
          <cell r="E11" t="str">
            <v>JIG26-01-0007 COMMON MATERIALS1</v>
          </cell>
          <cell r="G11" t="str">
            <v xml:space="preserve">WOOD SCREW </v>
          </cell>
          <cell r="H11" t="str">
            <v xml:space="preserve">NO. 4 1/2 </v>
          </cell>
          <cell r="I11" t="str">
            <v>ANY</v>
          </cell>
          <cell r="J11" t="str">
            <v>PHP</v>
          </cell>
          <cell r="K11">
            <v>1</v>
          </cell>
          <cell r="L11" t="str">
            <v>PC</v>
          </cell>
          <cell r="M11" t="str">
            <v>Mr. Mark Agno</v>
          </cell>
          <cell r="N11" t="str">
            <v>Maintenance Parts &amp; Supplies</v>
          </cell>
        </row>
        <row r="12">
          <cell r="E12" t="str">
            <v>JIG26-01-0007 COMMON MATERIALS2</v>
          </cell>
          <cell r="G12" t="str">
            <v xml:space="preserve">WOOD SCREW </v>
          </cell>
          <cell r="H12" t="str">
            <v>NO. 4 3/8</v>
          </cell>
          <cell r="I12" t="str">
            <v>ANY</v>
          </cell>
          <cell r="J12" t="str">
            <v>PHP</v>
          </cell>
          <cell r="K12">
            <v>1</v>
          </cell>
          <cell r="L12" t="str">
            <v>PC</v>
          </cell>
          <cell r="M12" t="str">
            <v>Mr. Mark Agno</v>
          </cell>
          <cell r="N12" t="str">
            <v>Maintenance Parts &amp; Supplies</v>
          </cell>
        </row>
        <row r="13">
          <cell r="E13" t="str">
            <v>JIG26-01-0008 COMMON MATERIALS1</v>
          </cell>
          <cell r="F13" t="str">
            <v>JIG</v>
          </cell>
          <cell r="G13" t="str">
            <v>ANGLE JOINT BRACKET (ZINC PIVOT JOINT)</v>
          </cell>
          <cell r="H13" t="str">
            <v>DAJ-06</v>
          </cell>
          <cell r="I13" t="str">
            <v>ANY</v>
          </cell>
          <cell r="J13" t="str">
            <v>$</v>
          </cell>
          <cell r="K13">
            <v>6.44</v>
          </cell>
          <cell r="L13" t="str">
            <v>PC</v>
          </cell>
          <cell r="M13" t="str">
            <v>Mr. Mark Agno</v>
          </cell>
          <cell r="N13" t="str">
            <v>Maintenance Parts &amp; Supplies</v>
          </cell>
        </row>
        <row r="14">
          <cell r="E14" t="str">
            <v>JIG26-01-0009 COMMON MATERIALS1</v>
          </cell>
          <cell r="F14" t="str">
            <v>JIG</v>
          </cell>
          <cell r="G14" t="str">
            <v>LINEAR GUIDE</v>
          </cell>
          <cell r="H14" t="str">
            <v>E-GMLG9-75</v>
          </cell>
          <cell r="I14" t="str">
            <v>RASO</v>
          </cell>
          <cell r="J14" t="str">
            <v>PHP</v>
          </cell>
          <cell r="K14">
            <v>540</v>
          </cell>
          <cell r="L14" t="str">
            <v>PC</v>
          </cell>
          <cell r="M14" t="str">
            <v>Mr. Mark Agno</v>
          </cell>
          <cell r="N14" t="str">
            <v>Maintenance Parts &amp; Supplies</v>
          </cell>
        </row>
        <row r="15">
          <cell r="E15" t="str">
            <v>JIG26-01-0010 COMMON MATERIALS1</v>
          </cell>
          <cell r="G15" t="str">
            <v>STAINLESS FLAT HEAD BOLT AND NUTS</v>
          </cell>
          <cell r="H15" t="str">
            <v>M3X8MM</v>
          </cell>
          <cell r="I15" t="str">
            <v>ANY</v>
          </cell>
          <cell r="J15" t="str">
            <v>PHP</v>
          </cell>
          <cell r="K15">
            <v>2.95</v>
          </cell>
          <cell r="L15" t="str">
            <v>PC</v>
          </cell>
          <cell r="M15" t="str">
            <v>Mr. Mark Agno</v>
          </cell>
          <cell r="N15" t="str">
            <v>Maintenance Parts &amp; Supplies</v>
          </cell>
        </row>
        <row r="16">
          <cell r="E16" t="str">
            <v>JIG26-01-0010 COMMON MATERIALS2</v>
          </cell>
          <cell r="F16" t="str">
            <v>JIG</v>
          </cell>
          <cell r="G16" t="str">
            <v>STAINLESS FLAT HEAD BOLT AND NUTS</v>
          </cell>
          <cell r="H16" t="str">
            <v xml:space="preserve">M3 X 10MM </v>
          </cell>
          <cell r="I16" t="str">
            <v>ANY</v>
          </cell>
          <cell r="J16" t="str">
            <v>PHP</v>
          </cell>
          <cell r="K16">
            <v>2.95</v>
          </cell>
          <cell r="L16" t="str">
            <v>PC</v>
          </cell>
          <cell r="M16" t="str">
            <v>Mr. Mark Agno</v>
          </cell>
          <cell r="N16" t="str">
            <v>Maintenance Parts &amp; Supplies</v>
          </cell>
        </row>
        <row r="17">
          <cell r="E17" t="str">
            <v>JIG26-01-0010 COMMON MATERIALS3</v>
          </cell>
          <cell r="F17" t="str">
            <v>JIG</v>
          </cell>
          <cell r="G17" t="str">
            <v>STAINLESS FLAT HEAD BOLT AND NUTS</v>
          </cell>
          <cell r="H17" t="str">
            <v>M3X30MM</v>
          </cell>
          <cell r="I17" t="str">
            <v>ANY</v>
          </cell>
          <cell r="J17" t="str">
            <v>PHP</v>
          </cell>
          <cell r="K17">
            <v>4.3499999999999996</v>
          </cell>
          <cell r="L17" t="str">
            <v>PC</v>
          </cell>
          <cell r="M17" t="str">
            <v>Mr. Mark Agno</v>
          </cell>
          <cell r="N17" t="str">
            <v>Maintenance Parts &amp; Supplies</v>
          </cell>
        </row>
        <row r="18">
          <cell r="E18" t="str">
            <v>JIG26-01-0011 COMMON MATERIALS1</v>
          </cell>
          <cell r="F18" t="str">
            <v>JIG</v>
          </cell>
          <cell r="G18" t="str">
            <v>METAL STAND (STAINLESS)</v>
          </cell>
          <cell r="H18" t="str">
            <v>100 MM</v>
          </cell>
          <cell r="I18" t="str">
            <v>ANY</v>
          </cell>
          <cell r="J18" t="str">
            <v>PHP</v>
          </cell>
          <cell r="K18">
            <v>250</v>
          </cell>
          <cell r="L18" t="str">
            <v>PC</v>
          </cell>
          <cell r="M18" t="str">
            <v>Mr. Mark Agno</v>
          </cell>
          <cell r="N18" t="str">
            <v>Maintenance Parts &amp; Supplies</v>
          </cell>
        </row>
        <row r="19">
          <cell r="E19" t="str">
            <v>JIG26-01-0012 COMMON MATERIALS1</v>
          </cell>
          <cell r="F19" t="str">
            <v>JIG</v>
          </cell>
          <cell r="G19" t="str">
            <v xml:space="preserve">BEARING </v>
          </cell>
          <cell r="H19" t="str">
            <v>M5</v>
          </cell>
          <cell r="I19" t="str">
            <v>ANY</v>
          </cell>
          <cell r="J19" t="str">
            <v>PHP</v>
          </cell>
          <cell r="K19">
            <v>53.35</v>
          </cell>
          <cell r="L19" t="str">
            <v>PC</v>
          </cell>
          <cell r="M19" t="str">
            <v>Mr. Mark Agno</v>
          </cell>
          <cell r="N19" t="str">
            <v>Maintenance Parts &amp; Supplies</v>
          </cell>
        </row>
        <row r="20">
          <cell r="E20" t="str">
            <v>JIG26-01-0013 COMMON MATERIALS1</v>
          </cell>
          <cell r="F20" t="str">
            <v>JIG</v>
          </cell>
          <cell r="G20" t="str">
            <v>FITTINGS</v>
          </cell>
          <cell r="H20" t="str">
            <v>KQ2L04-M5A</v>
          </cell>
          <cell r="I20" t="str">
            <v>ANY</v>
          </cell>
          <cell r="J20" t="str">
            <v>PHP</v>
          </cell>
          <cell r="K20">
            <v>125</v>
          </cell>
          <cell r="L20" t="str">
            <v>PC</v>
          </cell>
          <cell r="M20" t="str">
            <v>Mr. Mark Agno</v>
          </cell>
          <cell r="N20" t="str">
            <v>Maintenance Parts &amp; Supplies</v>
          </cell>
        </row>
        <row r="21">
          <cell r="E21" t="str">
            <v>JIG26-01-0014 RYODEN AED1</v>
          </cell>
          <cell r="G21" t="str">
            <v>SENSOR</v>
          </cell>
          <cell r="H21" t="str">
            <v>ESL-25N0</v>
          </cell>
          <cell r="I21" t="str">
            <v>AKUSENSE</v>
          </cell>
          <cell r="J21" t="str">
            <v>PHP</v>
          </cell>
          <cell r="K21">
            <v>1666</v>
          </cell>
          <cell r="L21" t="str">
            <v>PC</v>
          </cell>
          <cell r="M21" t="str">
            <v>Mr. Mark Agno</v>
          </cell>
          <cell r="N21" t="str">
            <v>Maintenance Parts &amp; Supplies</v>
          </cell>
        </row>
        <row r="22">
          <cell r="E22" t="str">
            <v>JIG26-01-0014 RYODEN AED2</v>
          </cell>
          <cell r="G22" t="str">
            <v xml:space="preserve">VT3-KEYENCE TOUCH PANEL </v>
          </cell>
          <cell r="H22" t="str">
            <v>REPURBISHED</v>
          </cell>
          <cell r="I22" t="str">
            <v>NESAS</v>
          </cell>
          <cell r="J22" t="str">
            <v>PHP</v>
          </cell>
          <cell r="K22">
            <v>6300</v>
          </cell>
          <cell r="L22" t="str">
            <v>PC</v>
          </cell>
          <cell r="M22" t="str">
            <v>Mr. Mark Agno</v>
          </cell>
          <cell r="N22" t="str">
            <v>Maintenance Parts &amp; Supplies</v>
          </cell>
        </row>
        <row r="23">
          <cell r="E23" t="str">
            <v>JIG26-01-0015 HIS ALPS AOD1</v>
          </cell>
          <cell r="G23" t="str">
            <v>PANASONIC PLC</v>
          </cell>
          <cell r="H23" t="str">
            <v>BRAND NEW</v>
          </cell>
          <cell r="I23" t="str">
            <v>NESAS</v>
          </cell>
          <cell r="J23" t="str">
            <v>PHP</v>
          </cell>
          <cell r="K23">
            <v>9801</v>
          </cell>
          <cell r="L23" t="str">
            <v>PC</v>
          </cell>
          <cell r="M23" t="str">
            <v>Mr. Mark Agno</v>
          </cell>
          <cell r="N23" t="str">
            <v>Maintenance Parts &amp; Supplies</v>
          </cell>
        </row>
        <row r="24">
          <cell r="E24" t="str">
            <v>JIG26-01-0015 HIS ALPS AOD2</v>
          </cell>
          <cell r="G24" t="str">
            <v>ALEXAN BOX</v>
          </cell>
          <cell r="H24" t="str">
            <v>HC 872</v>
          </cell>
          <cell r="I24" t="str">
            <v>ANY</v>
          </cell>
          <cell r="J24" t="str">
            <v>PHP</v>
          </cell>
          <cell r="K24">
            <v>260</v>
          </cell>
          <cell r="L24" t="str">
            <v>PC</v>
          </cell>
          <cell r="M24" t="str">
            <v>Mr. Mark Agno</v>
          </cell>
          <cell r="N24" t="str">
            <v>Maintenance Parts &amp; Supplies</v>
          </cell>
        </row>
        <row r="25">
          <cell r="E25" t="str">
            <v>JIG26-01-0015 HIS ALPS AOD3</v>
          </cell>
          <cell r="G25" t="str">
            <v xml:space="preserve">SWITCHING INDUSTRIAL POWER SUPPLY </v>
          </cell>
          <cell r="H25" t="str">
            <v>24V/1A</v>
          </cell>
          <cell r="I25" t="str">
            <v>ANY</v>
          </cell>
          <cell r="J25" t="str">
            <v>PHP</v>
          </cell>
          <cell r="K25">
            <v>325</v>
          </cell>
          <cell r="L25" t="str">
            <v>PC</v>
          </cell>
          <cell r="M25" t="str">
            <v>Mr. Mark Agno</v>
          </cell>
          <cell r="N25" t="str">
            <v>Maintenance Parts &amp; Supplies</v>
          </cell>
        </row>
        <row r="26">
          <cell r="E26" t="str">
            <v>JIG26-01-0016 FURUKAWA CID1</v>
          </cell>
          <cell r="F26" t="str">
            <v>JIG</v>
          </cell>
          <cell r="G26" t="str">
            <v>FP SIGMA PLC WHITE 32 1/10</v>
          </cell>
          <cell r="H26" t="str">
            <v>REPURBISHED</v>
          </cell>
          <cell r="I26" t="str">
            <v>ANY</v>
          </cell>
          <cell r="J26" t="str">
            <v>PHP</v>
          </cell>
          <cell r="K26">
            <v>10800</v>
          </cell>
          <cell r="L26" t="str">
            <v>PC</v>
          </cell>
          <cell r="M26" t="str">
            <v>Mr. Mark Agno</v>
          </cell>
          <cell r="N26" t="str">
            <v>Maintenance Parts &amp; Supplies</v>
          </cell>
        </row>
        <row r="27">
          <cell r="E27" t="str">
            <v>JIG26-01-0016 FURUKAWA CID2</v>
          </cell>
          <cell r="G27" t="str">
            <v xml:space="preserve">SWITCHING INDUSTRIAL POWER SUPPLY </v>
          </cell>
          <cell r="H27" t="str">
            <v>24V/1A</v>
          </cell>
          <cell r="I27" t="str">
            <v>ANY</v>
          </cell>
          <cell r="J27" t="str">
            <v>PHP</v>
          </cell>
          <cell r="K27">
            <v>325</v>
          </cell>
          <cell r="L27" t="str">
            <v>PC</v>
          </cell>
          <cell r="M27" t="str">
            <v>Mr. Mark Agno</v>
          </cell>
          <cell r="N27" t="str">
            <v>Maintenance Parts &amp; Supplies</v>
          </cell>
        </row>
        <row r="28">
          <cell r="E28" t="str">
            <v>JIG26-01-0016 FURUKAWA CID3</v>
          </cell>
          <cell r="F28" t="str">
            <v>JIG</v>
          </cell>
          <cell r="G28" t="str">
            <v>SHAFT COUPLING</v>
          </cell>
          <cell r="H28" t="str">
            <v>10X6.35</v>
          </cell>
          <cell r="I28" t="str">
            <v>SHOPEE</v>
          </cell>
          <cell r="J28" t="str">
            <v>PHP</v>
          </cell>
          <cell r="K28">
            <v>155</v>
          </cell>
          <cell r="L28" t="str">
            <v>PC</v>
          </cell>
          <cell r="M28" t="str">
            <v>Ms. Carla</v>
          </cell>
          <cell r="N28" t="str">
            <v>Maintenance Parts &amp; Supplies</v>
          </cell>
        </row>
        <row r="29">
          <cell r="E29" t="str">
            <v>JIG26-01-0016 FURUKAWA CID4</v>
          </cell>
          <cell r="F29" t="str">
            <v>JIG</v>
          </cell>
          <cell r="G29" t="str">
            <v>MOTOR GUIDE SHAFT</v>
          </cell>
          <cell r="H29" t="str">
            <v>6.35MM</v>
          </cell>
          <cell r="I29" t="str">
            <v>SHOPEE</v>
          </cell>
          <cell r="J29" t="str">
            <v>PHP</v>
          </cell>
          <cell r="K29">
            <v>80</v>
          </cell>
          <cell r="L29" t="str">
            <v>PC</v>
          </cell>
          <cell r="M29" t="str">
            <v>Ms. Carla</v>
          </cell>
          <cell r="N29" t="str">
            <v>Maintenance Parts &amp; Supplies</v>
          </cell>
        </row>
        <row r="30">
          <cell r="E30" t="str">
            <v>JIG26-01-0016 FURUKAWA CID5</v>
          </cell>
          <cell r="F30" t="str">
            <v>JIG</v>
          </cell>
          <cell r="G30" t="str">
            <v>WANTAI STEPPER MOTOR NEMA</v>
          </cell>
          <cell r="H30" t="str">
            <v>57BYGH627</v>
          </cell>
          <cell r="I30" t="str">
            <v>SHOPEE</v>
          </cell>
          <cell r="J30" t="str">
            <v>PHP</v>
          </cell>
          <cell r="K30">
            <v>1485</v>
          </cell>
          <cell r="L30" t="str">
            <v>PC</v>
          </cell>
          <cell r="M30" t="str">
            <v>Ms. Carla</v>
          </cell>
          <cell r="N30" t="str">
            <v>Maintenance Parts &amp; Supplies</v>
          </cell>
        </row>
        <row r="31">
          <cell r="E31" t="str">
            <v>JIG26-01-0016 FURUKAWA CID6</v>
          </cell>
          <cell r="F31" t="str">
            <v>JIG</v>
          </cell>
          <cell r="G31" t="str">
            <v>STEPPER MOTOR DRIVER</v>
          </cell>
          <cell r="H31" t="str">
            <v>DM556</v>
          </cell>
          <cell r="I31" t="str">
            <v>SHOPEE</v>
          </cell>
          <cell r="J31" t="str">
            <v>PHP</v>
          </cell>
          <cell r="K31">
            <v>476</v>
          </cell>
          <cell r="L31" t="str">
            <v>PC</v>
          </cell>
          <cell r="M31" t="str">
            <v>Ms. Carla</v>
          </cell>
          <cell r="N31" t="str">
            <v>Maintenance Parts &amp; Supplies</v>
          </cell>
        </row>
        <row r="32">
          <cell r="E32" t="str">
            <v>JIG26-01-0017 AGV MODIFICATION1</v>
          </cell>
          <cell r="F32" t="str">
            <v>JIG</v>
          </cell>
          <cell r="G32" t="str">
            <v>TOUCH SCREEN MONITOR</v>
          </cell>
          <cell r="H32" t="str">
            <v>14"60HZ / HDMI + TYPE C + TOUCH</v>
          </cell>
          <cell r="I32" t="str">
            <v>SHOPEE</v>
          </cell>
          <cell r="J32" t="str">
            <v>PHP</v>
          </cell>
          <cell r="K32">
            <v>4459</v>
          </cell>
          <cell r="L32" t="str">
            <v>PC</v>
          </cell>
          <cell r="M32" t="str">
            <v>Ms. Carla</v>
          </cell>
          <cell r="N32" t="str">
            <v>Maintenance Parts &amp; Supplies</v>
          </cell>
        </row>
        <row r="33">
          <cell r="E33" t="str">
            <v>JIG26-01-0018 LASER MACHINE LM-0021</v>
          </cell>
          <cell r="F33" t="str">
            <v>JIG</v>
          </cell>
          <cell r="G33" t="str">
            <v>WATER</v>
          </cell>
          <cell r="H33" t="str">
            <v>DISTILLED</v>
          </cell>
          <cell r="I33" t="str">
            <v>ANY</v>
          </cell>
          <cell r="J33" t="str">
            <v>PHP</v>
          </cell>
          <cell r="K33">
            <v>88</v>
          </cell>
          <cell r="L33" t="str">
            <v>PC</v>
          </cell>
          <cell r="M33" t="str">
            <v>Mr. Mark Agno</v>
          </cell>
          <cell r="N33" t="str">
            <v>Maintenance Parts &amp; Supplies</v>
          </cell>
        </row>
        <row r="34">
          <cell r="E34" t="str">
            <v>JIG26-01-0019 SPRING MAKER -SMM-0141</v>
          </cell>
          <cell r="F34" t="str">
            <v>JIG</v>
          </cell>
          <cell r="G34" t="str">
            <v>STAINLESS STEEL SPRING STEEL WIRE</v>
          </cell>
          <cell r="H34" t="str">
            <v xml:space="preserve">.6 MM </v>
          </cell>
          <cell r="I34" t="str">
            <v>LAZADA</v>
          </cell>
          <cell r="J34" t="str">
            <v>PHP</v>
          </cell>
          <cell r="K34">
            <v>920</v>
          </cell>
          <cell r="L34" t="str">
            <v>ROLL</v>
          </cell>
          <cell r="M34" t="str">
            <v>Ms. Carla</v>
          </cell>
          <cell r="N34" t="str">
            <v>Maintenance Parts &amp; Supplies</v>
          </cell>
        </row>
        <row r="35">
          <cell r="E35" t="str">
            <v>JIG26-01-0019 SPRING MAKER -SMM-0142</v>
          </cell>
          <cell r="F35" t="str">
            <v>JIG</v>
          </cell>
          <cell r="G35" t="str">
            <v>STAINLESS STEEL SPRING STEEL WIRE</v>
          </cell>
          <cell r="H35" t="str">
            <v>1.2 MM (110M_KG)</v>
          </cell>
          <cell r="I35" t="str">
            <v>LAZADA</v>
          </cell>
          <cell r="J35" t="str">
            <v>PHP</v>
          </cell>
          <cell r="K35">
            <v>1654.9</v>
          </cell>
          <cell r="L35" t="str">
            <v>ROLL</v>
          </cell>
          <cell r="M35" t="str">
            <v>Ms. Carla</v>
          </cell>
          <cell r="N35" t="str">
            <v>Maintenance Parts &amp; Supplies</v>
          </cell>
        </row>
        <row r="36">
          <cell r="E36" t="str">
            <v>JIG26-01-0020 COMMON MATERIALS1</v>
          </cell>
          <cell r="F36" t="str">
            <v>JIG</v>
          </cell>
          <cell r="G36" t="str">
            <v>OMRON SWITCH</v>
          </cell>
          <cell r="H36" t="str">
            <v>SS-01GL</v>
          </cell>
          <cell r="I36" t="str">
            <v>ANY</v>
          </cell>
          <cell r="J36" t="str">
            <v>PHP</v>
          </cell>
          <cell r="K36">
            <v>36.1</v>
          </cell>
          <cell r="L36" t="str">
            <v>PC</v>
          </cell>
          <cell r="M36" t="str">
            <v>Mr. Mark Agno</v>
          </cell>
          <cell r="N36" t="str">
            <v>Maintenance Parts &amp; Supplies</v>
          </cell>
        </row>
        <row r="37">
          <cell r="E37" t="str">
            <v>JIG26-01-0020 COMMON MATERIALS2</v>
          </cell>
          <cell r="F37" t="str">
            <v>JIG</v>
          </cell>
          <cell r="G37" t="str">
            <v>SWITCH</v>
          </cell>
          <cell r="H37" t="str">
            <v>D2F-01L3-D2</v>
          </cell>
          <cell r="I37" t="str">
            <v>ANY</v>
          </cell>
          <cell r="J37" t="str">
            <v>PHP</v>
          </cell>
          <cell r="K37">
            <v>103</v>
          </cell>
          <cell r="L37" t="str">
            <v>PC</v>
          </cell>
          <cell r="M37" t="str">
            <v>Mr. Mark Agno</v>
          </cell>
          <cell r="N37" t="str">
            <v>Maintenance Parts &amp; Supplies</v>
          </cell>
        </row>
        <row r="38">
          <cell r="E38" t="str">
            <v>JIG26-01-0021 COMMON MATERIALS1</v>
          </cell>
          <cell r="F38" t="str">
            <v>JIG</v>
          </cell>
          <cell r="G38" t="str">
            <v>ALEXAN BOX</v>
          </cell>
          <cell r="H38" t="str">
            <v>HC-001</v>
          </cell>
          <cell r="I38" t="str">
            <v>ANY</v>
          </cell>
          <cell r="J38" t="str">
            <v>PHP</v>
          </cell>
          <cell r="K38">
            <v>80</v>
          </cell>
          <cell r="L38" t="str">
            <v>PC</v>
          </cell>
          <cell r="M38" t="str">
            <v>Mr. Mark Agno</v>
          </cell>
          <cell r="N38" t="str">
            <v>Maintenance Parts &amp; Supplies</v>
          </cell>
        </row>
        <row r="39">
          <cell r="E39" t="str">
            <v>JIG26-01-0022 COMMON MATERIALS1</v>
          </cell>
          <cell r="F39" t="str">
            <v>JIG</v>
          </cell>
          <cell r="G39" t="str">
            <v>RELAY</v>
          </cell>
          <cell r="H39" t="str">
            <v>5V / 8 PINS</v>
          </cell>
          <cell r="I39" t="str">
            <v>ANY</v>
          </cell>
          <cell r="J39" t="str">
            <v>PHP</v>
          </cell>
          <cell r="K39">
            <v>116.4</v>
          </cell>
          <cell r="L39" t="str">
            <v>PC</v>
          </cell>
          <cell r="M39" t="str">
            <v>Mr. Mark Agno</v>
          </cell>
          <cell r="N39" t="str">
            <v>Maintenance Parts &amp; Supplies</v>
          </cell>
        </row>
        <row r="40">
          <cell r="E40" t="str">
            <v>JIG26-01-0022 COMMON MATERIALS2</v>
          </cell>
          <cell r="F40" t="str">
            <v>JIG</v>
          </cell>
          <cell r="G40" t="str">
            <v>RELAY</v>
          </cell>
          <cell r="H40" t="str">
            <v>6V / 14 PINS</v>
          </cell>
          <cell r="I40" t="str">
            <v>ANY</v>
          </cell>
          <cell r="J40" t="str">
            <v>PHP</v>
          </cell>
          <cell r="K40">
            <v>166.5</v>
          </cell>
          <cell r="L40" t="str">
            <v>PC</v>
          </cell>
          <cell r="M40" t="str">
            <v>Mr. Mark Agno</v>
          </cell>
          <cell r="N40" t="str">
            <v>Maintenance Parts &amp; Supplies</v>
          </cell>
        </row>
        <row r="41">
          <cell r="E41" t="str">
            <v>JIG26-01-0022 COMMON MATERIALS3</v>
          </cell>
          <cell r="F41" t="str">
            <v>JIG</v>
          </cell>
          <cell r="G41" t="str">
            <v>RELAY</v>
          </cell>
          <cell r="H41" t="str">
            <v>24V/8PINS</v>
          </cell>
          <cell r="I41" t="str">
            <v>ANY</v>
          </cell>
          <cell r="J41" t="str">
            <v>PHP</v>
          </cell>
          <cell r="K41">
            <v>116.4</v>
          </cell>
          <cell r="L41" t="str">
            <v>PC</v>
          </cell>
          <cell r="M41" t="str">
            <v>Mr. Mark Agno</v>
          </cell>
          <cell r="N41" t="str">
            <v>Maintenance Parts &amp; Supplies</v>
          </cell>
        </row>
        <row r="42">
          <cell r="E42" t="str">
            <v>JIG26-01-0022 COMMON MATERIALS4</v>
          </cell>
          <cell r="G42" t="str">
            <v>MINI BUZZER</v>
          </cell>
          <cell r="H42" t="str">
            <v>-</v>
          </cell>
          <cell r="I42" t="str">
            <v>ANY</v>
          </cell>
          <cell r="J42" t="str">
            <v>PHP</v>
          </cell>
          <cell r="K42">
            <v>55</v>
          </cell>
          <cell r="L42" t="str">
            <v>PC</v>
          </cell>
          <cell r="M42" t="str">
            <v>Mr. Mark Agno</v>
          </cell>
          <cell r="N42" t="str">
            <v>Maintenance Parts &amp; Supplies</v>
          </cell>
        </row>
        <row r="43">
          <cell r="E43" t="str">
            <v>JIG26-01-0022 COMMON MATERIALS5</v>
          </cell>
          <cell r="F43" t="str">
            <v>JIG</v>
          </cell>
          <cell r="G43" t="str">
            <v>PCB UNIVERSAL</v>
          </cell>
          <cell r="H43" t="str">
            <v>PC-401</v>
          </cell>
          <cell r="I43" t="str">
            <v>ANY</v>
          </cell>
          <cell r="J43" t="str">
            <v>PHP</v>
          </cell>
          <cell r="K43">
            <v>55</v>
          </cell>
          <cell r="L43" t="str">
            <v>PC</v>
          </cell>
          <cell r="M43" t="str">
            <v>Mr. Mark Agno</v>
          </cell>
          <cell r="N43" t="str">
            <v>Maintenance Parts &amp; Supplies</v>
          </cell>
        </row>
        <row r="44">
          <cell r="E44" t="str">
            <v>JIG26-01-0023 BASEPIN KOITO AUD1</v>
          </cell>
          <cell r="F44" t="str">
            <v>JIG</v>
          </cell>
          <cell r="G44" t="str">
            <v>BASEPIN</v>
          </cell>
          <cell r="H44" t="str">
            <v>502352-0800 WHITE</v>
          </cell>
          <cell r="I44" t="str">
            <v>MOLEX</v>
          </cell>
          <cell r="J44" t="str">
            <v>¥</v>
          </cell>
          <cell r="K44">
            <v>41.7</v>
          </cell>
          <cell r="L44" t="str">
            <v>PC</v>
          </cell>
          <cell r="M44" t="str">
            <v>-</v>
          </cell>
          <cell r="N44" t="str">
            <v>Maintenance Parts &amp; Supplies</v>
          </cell>
        </row>
        <row r="45">
          <cell r="E45" t="str">
            <v>JIG26-01-0024 COMMON MATERIALS1</v>
          </cell>
          <cell r="F45" t="str">
            <v>JIG</v>
          </cell>
          <cell r="G45" t="str">
            <v>PUSH BUTTON ROUND</v>
          </cell>
          <cell r="H45" t="str">
            <v>RED (24V)</v>
          </cell>
          <cell r="I45" t="str">
            <v>ANY</v>
          </cell>
          <cell r="J45" t="str">
            <v>PHP</v>
          </cell>
          <cell r="K45">
            <v>195</v>
          </cell>
          <cell r="L45" t="str">
            <v>PC</v>
          </cell>
          <cell r="M45" t="str">
            <v>Ms. Carla</v>
          </cell>
          <cell r="N45" t="str">
            <v>Maintenance Parts &amp; Supplies</v>
          </cell>
        </row>
        <row r="46">
          <cell r="E46" t="str">
            <v>JIG26-01-0024 COMMON MATERIALS2</v>
          </cell>
          <cell r="F46" t="str">
            <v>JIG</v>
          </cell>
          <cell r="G46" t="str">
            <v>PUSH BUTTON ROUND</v>
          </cell>
          <cell r="H46" t="str">
            <v>GREEN (24V)</v>
          </cell>
          <cell r="I46" t="str">
            <v>ANY</v>
          </cell>
          <cell r="J46" t="str">
            <v>PHP</v>
          </cell>
          <cell r="K46">
            <v>195</v>
          </cell>
          <cell r="L46" t="str">
            <v>PC</v>
          </cell>
          <cell r="M46" t="str">
            <v>Ms. Carla</v>
          </cell>
          <cell r="N46" t="str">
            <v>Maintenance Parts &amp; Supplies</v>
          </cell>
        </row>
        <row r="47">
          <cell r="E47" t="str">
            <v>JIG26-01-0025 3D PRINTER - 0121</v>
          </cell>
          <cell r="F47" t="str">
            <v>JIG</v>
          </cell>
          <cell r="G47" t="str">
            <v>K1C SILICONE SOCK FOR CREALITY</v>
          </cell>
          <cell r="H47" t="str">
            <v>BROWN</v>
          </cell>
          <cell r="I47" t="str">
            <v>SHOPEE</v>
          </cell>
          <cell r="J47" t="str">
            <v>PHP</v>
          </cell>
          <cell r="K47">
            <v>40</v>
          </cell>
          <cell r="L47" t="str">
            <v>PC</v>
          </cell>
          <cell r="M47" t="str">
            <v>Ms. Carla</v>
          </cell>
          <cell r="N47" t="str">
            <v>Maintenance Parts &amp; Supplies</v>
          </cell>
        </row>
        <row r="48">
          <cell r="E48" t="str">
            <v>JIG26-01-0025 3D PRINTER - 0122</v>
          </cell>
          <cell r="F48" t="str">
            <v>JIG</v>
          </cell>
          <cell r="G48" t="str">
            <v>METAL FILAMENT DRIVE GEAR FOR CREALITY</v>
          </cell>
          <cell r="H48" t="str">
            <v>LOT CR K1C K1</v>
          </cell>
          <cell r="I48" t="str">
            <v>SHOPEE</v>
          </cell>
          <cell r="J48" t="str">
            <v>PHP</v>
          </cell>
          <cell r="K48">
            <v>282</v>
          </cell>
          <cell r="L48" t="str">
            <v>SET</v>
          </cell>
          <cell r="M48" t="str">
            <v>Ms. Carla</v>
          </cell>
          <cell r="N48" t="str">
            <v>Maintenance Parts &amp; Supplies</v>
          </cell>
        </row>
        <row r="49">
          <cell r="E49" t="str">
            <v>JIG26-01-0026 COMMON MATERIALS1</v>
          </cell>
          <cell r="G49" t="str">
            <v>CYLINDER</v>
          </cell>
          <cell r="H49" t="str">
            <v>CUJB10-15DM</v>
          </cell>
          <cell r="I49" t="str">
            <v>ANY</v>
          </cell>
          <cell r="J49" t="str">
            <v>PHP</v>
          </cell>
          <cell r="K49">
            <v>1400</v>
          </cell>
          <cell r="L49" t="str">
            <v>PC</v>
          </cell>
          <cell r="M49" t="str">
            <v>Mr. Mark Agno</v>
          </cell>
          <cell r="N49" t="str">
            <v>Maintenance Parts &amp; Supplies</v>
          </cell>
        </row>
        <row r="50">
          <cell r="E50" t="str">
            <v>JIG26-01-0027 COMMON MATERIALS1</v>
          </cell>
          <cell r="F50" t="str">
            <v>JIG</v>
          </cell>
          <cell r="G50" t="str">
            <v>CORNER BRACKET</v>
          </cell>
          <cell r="H50" t="str">
            <v>TYPE L 30 X 30</v>
          </cell>
          <cell r="I50" t="str">
            <v>ANY</v>
          </cell>
          <cell r="J50" t="str">
            <v>PHP</v>
          </cell>
          <cell r="K50">
            <v>33</v>
          </cell>
          <cell r="L50" t="str">
            <v>PC</v>
          </cell>
          <cell r="M50" t="str">
            <v>Mr. Mark Agno</v>
          </cell>
          <cell r="N50" t="str">
            <v>Maintenance Parts &amp; Supplies</v>
          </cell>
        </row>
        <row r="51">
          <cell r="E51" t="str">
            <v>JIG26-01-0028 COMMON MATERIALS1</v>
          </cell>
          <cell r="F51" t="str">
            <v>JIG</v>
          </cell>
          <cell r="G51" t="str">
            <v>SOLENOID VALVE 24V</v>
          </cell>
          <cell r="H51" t="str">
            <v>SY3120-5LZD-M5</v>
          </cell>
          <cell r="I51" t="str">
            <v>ANY</v>
          </cell>
          <cell r="J51" t="str">
            <v>PHP</v>
          </cell>
          <cell r="K51">
            <v>1500</v>
          </cell>
          <cell r="L51" t="str">
            <v>PC</v>
          </cell>
          <cell r="M51" t="str">
            <v>Mr. Mark Agno</v>
          </cell>
          <cell r="N51" t="str">
            <v>Maintenance Parts &amp; Supplies</v>
          </cell>
        </row>
        <row r="52">
          <cell r="E52" t="str">
            <v>JIG26-01-0029 COMMON MATERIALS1</v>
          </cell>
          <cell r="G52" t="str">
            <v>PLASTIC HINGE</v>
          </cell>
          <cell r="H52" t="str">
            <v>CLAMP</v>
          </cell>
          <cell r="I52" t="str">
            <v>ANY</v>
          </cell>
          <cell r="J52" t="str">
            <v>PHP</v>
          </cell>
          <cell r="K52">
            <v>13</v>
          </cell>
          <cell r="L52" t="str">
            <v>PC</v>
          </cell>
          <cell r="M52" t="str">
            <v>Mr. Mark Agno</v>
          </cell>
          <cell r="N52" t="str">
            <v>Maintenance Parts &amp; Supplies</v>
          </cell>
        </row>
        <row r="53">
          <cell r="E53" t="str">
            <v>JIG26-01-0030 COMMON MATERIALS1</v>
          </cell>
          <cell r="G53" t="str">
            <v xml:space="preserve">SWITCHING INDUSTRIAL POWER SUPPLY </v>
          </cell>
          <cell r="H53" t="str">
            <v>24V/1A</v>
          </cell>
          <cell r="I53" t="str">
            <v>ANY</v>
          </cell>
          <cell r="J53" t="str">
            <v>PHP</v>
          </cell>
          <cell r="K53">
            <v>325</v>
          </cell>
          <cell r="L53" t="str">
            <v>PC</v>
          </cell>
          <cell r="M53" t="str">
            <v>Mr. Mark Agno</v>
          </cell>
          <cell r="N53" t="str">
            <v>Maintenance Parts &amp; Supplies</v>
          </cell>
        </row>
        <row r="54">
          <cell r="E54" t="str">
            <v>JIG26-01-0031 JIG OFFICE SUPPLIES1</v>
          </cell>
          <cell r="F54" t="str">
            <v>JIG OFFICE SUPPLIES</v>
          </cell>
          <cell r="G54" t="str">
            <v>DMC DIGITAL COUNTING JIG</v>
          </cell>
          <cell r="H54" t="str">
            <v>Q24FC-0006 (REV.03)</v>
          </cell>
          <cell r="I54" t="str">
            <v>ANY</v>
          </cell>
          <cell r="J54" t="str">
            <v>PHP</v>
          </cell>
          <cell r="K54">
            <v>310</v>
          </cell>
          <cell r="L54" t="str">
            <v>REAM</v>
          </cell>
          <cell r="M54" t="str">
            <v>Mr. Mark Agno</v>
          </cell>
          <cell r="N54" t="str">
            <v>Office Supplies Expense Expense</v>
          </cell>
        </row>
        <row r="55">
          <cell r="E55" t="str">
            <v>JIG26-01-0031 JIG OFFICE SUPPLIES2</v>
          </cell>
          <cell r="F55" t="e">
            <v>#REF!</v>
          </cell>
          <cell r="G55" t="str">
            <v>DMC YATAI AND U-LINE</v>
          </cell>
          <cell r="H55" t="str">
            <v>Q24FC-0003 (REV.NO. 13)</v>
          </cell>
          <cell r="I55" t="str">
            <v>ANY</v>
          </cell>
          <cell r="J55" t="str">
            <v>PHP</v>
          </cell>
          <cell r="K55">
            <v>310</v>
          </cell>
          <cell r="L55" t="str">
            <v>REAM</v>
          </cell>
          <cell r="M55" t="str">
            <v>Mr. Mark Agno</v>
          </cell>
          <cell r="N55" t="str">
            <v>Office Supplies Expense Expense</v>
          </cell>
        </row>
        <row r="56">
          <cell r="E56" t="str">
            <v>JIG26-01-0031 JIG OFFICE SUPPLIES3</v>
          </cell>
          <cell r="F56" t="str">
            <v>JIG</v>
          </cell>
          <cell r="G56" t="str">
            <v>DMC INSERTION JIG</v>
          </cell>
          <cell r="H56" t="str">
            <v>Q24FC-0018 (REV. NO. 10)</v>
          </cell>
          <cell r="I56" t="str">
            <v>ANY</v>
          </cell>
          <cell r="J56" t="str">
            <v>PHP</v>
          </cell>
          <cell r="K56">
            <v>310</v>
          </cell>
          <cell r="L56" t="str">
            <v>REAM</v>
          </cell>
          <cell r="M56" t="str">
            <v>Mr. Mark Agno</v>
          </cell>
          <cell r="N56" t="str">
            <v>Office Supplies Expense Expense</v>
          </cell>
        </row>
        <row r="57">
          <cell r="E57" t="str">
            <v>JIG26-01-0032 COMMON MATERIALS1</v>
          </cell>
          <cell r="F57" t="str">
            <v>JIG</v>
          </cell>
          <cell r="G57" t="str">
            <v>ACRYLIC</v>
          </cell>
          <cell r="H57" t="str">
            <v>2MM 4FT X 8FT</v>
          </cell>
          <cell r="I57" t="str">
            <v>ANY</v>
          </cell>
          <cell r="J57" t="str">
            <v>PHP</v>
          </cell>
          <cell r="K57">
            <v>1333</v>
          </cell>
          <cell r="L57" t="str">
            <v>PC</v>
          </cell>
          <cell r="M57" t="str">
            <v>Mr. Mark Agno</v>
          </cell>
          <cell r="N57" t="str">
            <v>Maintenance Parts &amp; Supplies</v>
          </cell>
        </row>
        <row r="58">
          <cell r="E58" t="str">
            <v>JIG26-01-0032 COMMON MATERIALS2</v>
          </cell>
          <cell r="F58" t="str">
            <v>JIG</v>
          </cell>
          <cell r="G58" t="str">
            <v>ACRYLIC</v>
          </cell>
          <cell r="H58" t="str">
            <v>3MM 8FT X 4FT</v>
          </cell>
          <cell r="I58" t="str">
            <v>ANY</v>
          </cell>
          <cell r="J58" t="str">
            <v>PHP</v>
          </cell>
          <cell r="K58">
            <v>2000</v>
          </cell>
          <cell r="L58" t="str">
            <v>PC</v>
          </cell>
          <cell r="M58" t="str">
            <v>Mr. Mark Agno</v>
          </cell>
          <cell r="N58" t="str">
            <v>Maintenance Parts &amp; Supplies</v>
          </cell>
        </row>
        <row r="59">
          <cell r="E59" t="str">
            <v>JIG26-01-0033 COMMON MATERIALS1</v>
          </cell>
          <cell r="F59" t="str">
            <v>JIG</v>
          </cell>
          <cell r="G59" t="str">
            <v>SPRAY PAINT</v>
          </cell>
          <cell r="H59" t="str">
            <v>BLACK</v>
          </cell>
          <cell r="I59" t="str">
            <v>ANY</v>
          </cell>
          <cell r="J59" t="str">
            <v>PHP</v>
          </cell>
          <cell r="K59">
            <v>130</v>
          </cell>
          <cell r="L59" t="str">
            <v>PC</v>
          </cell>
          <cell r="M59" t="str">
            <v>Mr. Mark Agno</v>
          </cell>
          <cell r="N59" t="str">
            <v>Maintenance Parts &amp; Supplies</v>
          </cell>
        </row>
        <row r="60">
          <cell r="E60" t="str">
            <v>JIG26-01-0033 COMMON MATERIALS2</v>
          </cell>
          <cell r="F60" t="str">
            <v>JIG</v>
          </cell>
          <cell r="G60" t="str">
            <v>SPRAY PAINT</v>
          </cell>
          <cell r="H60" t="str">
            <v>DEEP GREEN</v>
          </cell>
          <cell r="I60" t="str">
            <v>ANY</v>
          </cell>
          <cell r="J60" t="str">
            <v>PHP</v>
          </cell>
          <cell r="K60">
            <v>130</v>
          </cell>
          <cell r="L60" t="str">
            <v>PC</v>
          </cell>
          <cell r="M60" t="str">
            <v>Mr. Mark Agno</v>
          </cell>
          <cell r="N60" t="str">
            <v>Maintenance Parts &amp; Supplies</v>
          </cell>
        </row>
        <row r="61">
          <cell r="E61" t="str">
            <v>JIG26-01-0033 COMMON MATERIALS3</v>
          </cell>
          <cell r="F61" t="str">
            <v>JIG</v>
          </cell>
          <cell r="G61" t="str">
            <v>SPRAY PAINT</v>
          </cell>
          <cell r="H61" t="str">
            <v>METALIC SILVER</v>
          </cell>
          <cell r="I61" t="str">
            <v>ANY</v>
          </cell>
          <cell r="J61" t="str">
            <v>PHP</v>
          </cell>
          <cell r="K61">
            <v>130</v>
          </cell>
          <cell r="L61" t="str">
            <v>PC</v>
          </cell>
          <cell r="M61" t="str">
            <v>Mr. Mark Agno</v>
          </cell>
          <cell r="N61" t="str">
            <v>Maintenance Parts &amp; Supplies</v>
          </cell>
        </row>
        <row r="62">
          <cell r="E62" t="str">
            <v>JIG26-01-0034 COMMON MATERIALS1</v>
          </cell>
          <cell r="F62" t="str">
            <v>JIG</v>
          </cell>
          <cell r="G62" t="str">
            <v>LED GREEN (SUPER BRIGHT)</v>
          </cell>
          <cell r="H62" t="str">
            <v>3MM</v>
          </cell>
          <cell r="I62" t="str">
            <v>ANY</v>
          </cell>
          <cell r="J62" t="str">
            <v>PHP</v>
          </cell>
          <cell r="K62">
            <v>4.8499999999999996</v>
          </cell>
          <cell r="L62" t="str">
            <v>PC</v>
          </cell>
          <cell r="M62" t="str">
            <v>Mr. Mark Agno</v>
          </cell>
          <cell r="N62" t="str">
            <v>Maintenance Parts &amp; Supplies</v>
          </cell>
        </row>
        <row r="63">
          <cell r="E63" t="str">
            <v>JIG26-01-0035 COMMON MATERIALS1</v>
          </cell>
          <cell r="F63" t="str">
            <v>JIG</v>
          </cell>
          <cell r="G63" t="str">
            <v>CABLE TRAY</v>
          </cell>
          <cell r="H63" t="str">
            <v>1 X 1</v>
          </cell>
          <cell r="I63" t="str">
            <v>ANY</v>
          </cell>
          <cell r="J63" t="str">
            <v>PHP</v>
          </cell>
          <cell r="K63">
            <v>320</v>
          </cell>
          <cell r="L63" t="str">
            <v>PC</v>
          </cell>
          <cell r="M63" t="str">
            <v>Mr. Mark Agno</v>
          </cell>
          <cell r="N63" t="str">
            <v>Maintenance Parts &amp; Supplies</v>
          </cell>
        </row>
        <row r="64">
          <cell r="E64" t="str">
            <v>JIG26-01-0035 COMMON MATERIALS2</v>
          </cell>
          <cell r="F64" t="str">
            <v>JIG</v>
          </cell>
          <cell r="G64" t="str">
            <v>CABLE TRAY</v>
          </cell>
          <cell r="H64" t="str">
            <v>2 X 2</v>
          </cell>
          <cell r="I64" t="str">
            <v>ANY</v>
          </cell>
          <cell r="J64" t="str">
            <v>PHP</v>
          </cell>
          <cell r="K64">
            <v>720</v>
          </cell>
          <cell r="L64" t="str">
            <v>PC</v>
          </cell>
          <cell r="M64" t="str">
            <v>Mr. Mark Agno</v>
          </cell>
          <cell r="N64" t="str">
            <v>Maintenance Parts &amp; Supplies</v>
          </cell>
        </row>
        <row r="65">
          <cell r="E65" t="str">
            <v>JIG26-01-0036 COMMON MATERIALS1</v>
          </cell>
          <cell r="F65" t="str">
            <v>JIG</v>
          </cell>
          <cell r="G65" t="str">
            <v>RELAY</v>
          </cell>
          <cell r="H65" t="str">
            <v>24V/14PINS</v>
          </cell>
          <cell r="I65" t="str">
            <v>ANY</v>
          </cell>
          <cell r="J65" t="str">
            <v>PHP</v>
          </cell>
          <cell r="K65">
            <v>170</v>
          </cell>
          <cell r="L65" t="str">
            <v>PC</v>
          </cell>
          <cell r="M65" t="str">
            <v>Mr. Mark Agno</v>
          </cell>
          <cell r="N65" t="str">
            <v>Maintenance Parts &amp; Supplies</v>
          </cell>
        </row>
        <row r="66">
          <cell r="E66" t="str">
            <v>JIG26-01-0037 COMMON MATERIALS1</v>
          </cell>
          <cell r="F66" t="str">
            <v>JIG</v>
          </cell>
          <cell r="G66" t="str">
            <v>MICRO LINEAR ACTUATOR</v>
          </cell>
          <cell r="H66" t="str">
            <v>30MM</v>
          </cell>
          <cell r="I66" t="str">
            <v>ANY</v>
          </cell>
          <cell r="J66" t="str">
            <v>PHP</v>
          </cell>
          <cell r="K66">
            <v>1390.04</v>
          </cell>
          <cell r="L66" t="str">
            <v>PC</v>
          </cell>
          <cell r="M66" t="str">
            <v>Ms. Carla</v>
          </cell>
          <cell r="N66" t="str">
            <v>Maintenance Parts &amp; Supplies</v>
          </cell>
        </row>
        <row r="67">
          <cell r="E67" t="str">
            <v>JIG26-01-0038 COMMON MATERIALS1</v>
          </cell>
          <cell r="F67" t="str">
            <v>JIG</v>
          </cell>
          <cell r="G67" t="str">
            <v xml:space="preserve">CUSTOMIZED PROBE SWITCH </v>
          </cell>
          <cell r="H67" t="str">
            <v>SF-2.1X45.0-A</v>
          </cell>
          <cell r="I67" t="str">
            <v>SJM</v>
          </cell>
          <cell r="J67" t="str">
            <v>PHP</v>
          </cell>
          <cell r="K67">
            <v>380</v>
          </cell>
          <cell r="L67" t="str">
            <v>PC</v>
          </cell>
          <cell r="M67" t="str">
            <v>Mr. Mark Agno</v>
          </cell>
          <cell r="N67" t="str">
            <v>Maintenance Parts &amp; Supplies</v>
          </cell>
        </row>
        <row r="68">
          <cell r="E68" t="str">
            <v>JIG26-01-0039 COMMON MATERIALS1</v>
          </cell>
          <cell r="F68" t="str">
            <v>JIG</v>
          </cell>
          <cell r="G68" t="str">
            <v xml:space="preserve">MICRO SWITCH </v>
          </cell>
          <cell r="H68" t="str">
            <v>P336-01</v>
          </cell>
          <cell r="I68" t="str">
            <v>ANY</v>
          </cell>
          <cell r="J68" t="str">
            <v>PHP</v>
          </cell>
          <cell r="K68">
            <v>25</v>
          </cell>
          <cell r="L68" t="str">
            <v>PC</v>
          </cell>
          <cell r="M68" t="str">
            <v>Mr. Mark Agno</v>
          </cell>
          <cell r="N68" t="str">
            <v>Maintenance Parts &amp; Supplies</v>
          </cell>
        </row>
        <row r="69">
          <cell r="E69" t="str">
            <v>JIG26-01-0039 COMMON MATERIALS2</v>
          </cell>
          <cell r="F69" t="str">
            <v>JIG</v>
          </cell>
          <cell r="G69" t="str">
            <v>SWITCH</v>
          </cell>
          <cell r="H69" t="str">
            <v>ON / OFF</v>
          </cell>
          <cell r="I69" t="str">
            <v>ANY</v>
          </cell>
          <cell r="J69" t="str">
            <v>PHP</v>
          </cell>
          <cell r="K69">
            <v>25</v>
          </cell>
          <cell r="L69" t="str">
            <v>PC</v>
          </cell>
          <cell r="M69" t="str">
            <v>Mr. Mark Agno</v>
          </cell>
          <cell r="N69" t="str">
            <v>Maintenance Parts &amp; Supplies</v>
          </cell>
        </row>
        <row r="70">
          <cell r="E70" t="str">
            <v>JIG26-01-0040 COMMON MATERIALS1</v>
          </cell>
          <cell r="F70" t="str">
            <v>JIG</v>
          </cell>
          <cell r="G70" t="str">
            <v>STAINLESS FLAT HEAD BOLT AND NUTS</v>
          </cell>
          <cell r="H70" t="str">
            <v>M3X16MM</v>
          </cell>
          <cell r="I70" t="str">
            <v>ANY</v>
          </cell>
          <cell r="J70" t="str">
            <v>PHP</v>
          </cell>
          <cell r="K70">
            <v>3.05</v>
          </cell>
          <cell r="L70" t="str">
            <v>PC</v>
          </cell>
          <cell r="M70" t="str">
            <v>Mr. Mark Agno</v>
          </cell>
          <cell r="N70" t="str">
            <v>Maintenance Parts &amp; Supplies</v>
          </cell>
        </row>
        <row r="71">
          <cell r="E71" t="str">
            <v>JIG26-01-0041  FURUKAWA CID1</v>
          </cell>
          <cell r="F71" t="str">
            <v>JIG</v>
          </cell>
          <cell r="G71" t="str">
            <v>T NUT (T-SLOT NUT)</v>
          </cell>
          <cell r="H71" t="str">
            <v>20# M4</v>
          </cell>
          <cell r="I71" t="str">
            <v>SHOPEE</v>
          </cell>
          <cell r="J71" t="str">
            <v>PHP</v>
          </cell>
          <cell r="K71">
            <v>132</v>
          </cell>
          <cell r="L71" t="str">
            <v>PC</v>
          </cell>
          <cell r="M71" t="str">
            <v>Ms. Carla</v>
          </cell>
          <cell r="N71" t="str">
            <v>Maintenance Parts &amp; Supplies</v>
          </cell>
        </row>
        <row r="72">
          <cell r="E72" t="str">
            <v>JIG26-01-0041  FURUKAWA CID2</v>
          </cell>
          <cell r="F72" t="str">
            <v>JIG</v>
          </cell>
          <cell r="G72" t="str">
            <v>T NUT (T-SLOT NUT)</v>
          </cell>
          <cell r="H72" t="str">
            <v>20# M3</v>
          </cell>
          <cell r="I72" t="str">
            <v>SHOPEE</v>
          </cell>
          <cell r="J72" t="str">
            <v>PHP</v>
          </cell>
          <cell r="K72">
            <v>142</v>
          </cell>
          <cell r="L72" t="str">
            <v>PC</v>
          </cell>
          <cell r="M72" t="str">
            <v>Ms. Carla</v>
          </cell>
          <cell r="N72" t="str">
            <v>Maintenance Parts &amp; Supplies</v>
          </cell>
        </row>
        <row r="73">
          <cell r="E73" t="str">
            <v>JIG26-01-0042 COMMON MATERIALS1</v>
          </cell>
          <cell r="F73" t="str">
            <v>JIG</v>
          </cell>
          <cell r="G73" t="str">
            <v>TOGGLE CLAMP</v>
          </cell>
          <cell r="H73" t="str">
            <v>HV-150</v>
          </cell>
          <cell r="I73" t="str">
            <v>VLCR</v>
          </cell>
          <cell r="J73" t="str">
            <v>PHP</v>
          </cell>
          <cell r="K73">
            <v>790</v>
          </cell>
          <cell r="L73" t="str">
            <v>PC</v>
          </cell>
          <cell r="M73" t="str">
            <v>Mr. Mark Agno</v>
          </cell>
          <cell r="N73" t="str">
            <v>Maintenance Parts &amp; Supplies</v>
          </cell>
        </row>
        <row r="74">
          <cell r="E74" t="str">
            <v>JIG26-01-0043 COMMON MATERIALS1</v>
          </cell>
          <cell r="F74" t="str">
            <v>JIG</v>
          </cell>
          <cell r="G74" t="str">
            <v>LINEAR GUIDE</v>
          </cell>
          <cell r="H74" t="str">
            <v>E-GMLG9-75</v>
          </cell>
          <cell r="I74" t="str">
            <v>RASO</v>
          </cell>
          <cell r="J74" t="str">
            <v>PHP</v>
          </cell>
          <cell r="K74">
            <v>540</v>
          </cell>
          <cell r="L74" t="str">
            <v>PC</v>
          </cell>
          <cell r="M74" t="str">
            <v>Mr. Mark Agno</v>
          </cell>
          <cell r="N74" t="str">
            <v>Maintenance Parts &amp; Supplies</v>
          </cell>
        </row>
        <row r="75">
          <cell r="E75" t="str">
            <v>JIG26-01-0044 COMMON MATERIALS1</v>
          </cell>
          <cell r="F75" t="str">
            <v>JIG</v>
          </cell>
          <cell r="G75" t="str">
            <v>STAINLESS ALLEN BOLTS AND NUTS WITH WASHER</v>
          </cell>
          <cell r="H75" t="str">
            <v>M6 X 12MM</v>
          </cell>
          <cell r="I75" t="str">
            <v>ANY</v>
          </cell>
          <cell r="J75" t="str">
            <v>PHP</v>
          </cell>
          <cell r="K75">
            <v>5.85</v>
          </cell>
          <cell r="L75" t="str">
            <v>PC</v>
          </cell>
          <cell r="M75" t="str">
            <v>Mr. Mark Agno</v>
          </cell>
          <cell r="N75" t="str">
            <v>Maintenance Parts &amp; Supplies</v>
          </cell>
        </row>
        <row r="76">
          <cell r="E76" t="str">
            <v>JIG26-01-0044 COMMON MATERIALS2</v>
          </cell>
          <cell r="F76" t="str">
            <v>JIG</v>
          </cell>
          <cell r="G76" t="str">
            <v>STAINLESS ALLEN BOLTS AND NUTS WITH WASHER</v>
          </cell>
          <cell r="H76" t="str">
            <v>M6 X 16MM</v>
          </cell>
          <cell r="I76" t="str">
            <v>ANY</v>
          </cell>
          <cell r="J76" t="str">
            <v>PHP</v>
          </cell>
          <cell r="K76">
            <v>6.15</v>
          </cell>
          <cell r="L76" t="str">
            <v>PC</v>
          </cell>
          <cell r="M76" t="str">
            <v>Mr. Mark Agno</v>
          </cell>
          <cell r="N76" t="str">
            <v>Maintenance Parts &amp; Supplies</v>
          </cell>
        </row>
        <row r="77">
          <cell r="E77" t="str">
            <v>JIG26-01-0045 COMMON MATERIALS1</v>
          </cell>
          <cell r="F77" t="str">
            <v>JIG</v>
          </cell>
          <cell r="G77" t="str">
            <v>SPIRAL TUBE</v>
          </cell>
          <cell r="H77" t="str">
            <v>T6</v>
          </cell>
          <cell r="I77" t="str">
            <v>ANY</v>
          </cell>
          <cell r="J77" t="str">
            <v>PHP</v>
          </cell>
          <cell r="K77">
            <v>135</v>
          </cell>
          <cell r="L77" t="str">
            <v>PC</v>
          </cell>
          <cell r="M77" t="str">
            <v>Mr. Mark Agno</v>
          </cell>
          <cell r="N77" t="str">
            <v>Maintenance Parts &amp; Supplies</v>
          </cell>
        </row>
        <row r="78">
          <cell r="E78" t="str">
            <v>JIG26-01-0046 COMMON MATERIALS1</v>
          </cell>
          <cell r="F78" t="str">
            <v>JIG</v>
          </cell>
          <cell r="G78" t="str">
            <v>SILENCER</v>
          </cell>
          <cell r="H78" t="str">
            <v>AN120-M5</v>
          </cell>
          <cell r="I78" t="str">
            <v>ANY</v>
          </cell>
          <cell r="J78" t="str">
            <v>PHP</v>
          </cell>
          <cell r="K78">
            <v>306</v>
          </cell>
          <cell r="L78" t="str">
            <v>PC</v>
          </cell>
          <cell r="M78" t="str">
            <v>Mr. Mark Agno</v>
          </cell>
          <cell r="N78" t="str">
            <v>Maintenance Parts &amp; Supplies</v>
          </cell>
        </row>
        <row r="79">
          <cell r="E79" t="str">
            <v>JIG26-01-0047 COMMON MATERIALS1</v>
          </cell>
          <cell r="F79" t="str">
            <v>JIG</v>
          </cell>
          <cell r="G79" t="str">
            <v>FASE STRIP BLACK (T-SLOT)</v>
          </cell>
          <cell r="H79" t="str">
            <v>3 METER (6MM)</v>
          </cell>
          <cell r="I79" t="str">
            <v>ANY</v>
          </cell>
          <cell r="J79" t="str">
            <v>$</v>
          </cell>
          <cell r="K79">
            <v>1.1000000000000001</v>
          </cell>
          <cell r="L79" t="str">
            <v>PC</v>
          </cell>
          <cell r="M79" t="str">
            <v>Mr. Mark Agno</v>
          </cell>
          <cell r="N79" t="str">
            <v>Maintenance Parts &amp; Supplies</v>
          </cell>
        </row>
        <row r="80">
          <cell r="E80" t="str">
            <v>JIG26-01-0048 COMMON MATERIALS1</v>
          </cell>
          <cell r="G80" t="str">
            <v>ALUMINUM PROFILE</v>
          </cell>
          <cell r="H80" t="str">
            <v xml:space="preserve">20X20 </v>
          </cell>
          <cell r="I80" t="str">
            <v>DLCR</v>
          </cell>
          <cell r="J80" t="str">
            <v>PHP</v>
          </cell>
          <cell r="K80">
            <v>598</v>
          </cell>
          <cell r="L80" t="str">
            <v>PC</v>
          </cell>
          <cell r="M80" t="str">
            <v>Mr. Mark Agno</v>
          </cell>
          <cell r="N80" t="str">
            <v>Maintenance Parts &amp; Supplies</v>
          </cell>
        </row>
        <row r="81">
          <cell r="E81" t="str">
            <v>JIG26-01-0049 COMMON MATERIALS1</v>
          </cell>
          <cell r="F81" t="str">
            <v>JIG</v>
          </cell>
          <cell r="G81" t="str">
            <v>ALUMINUM PROFILE</v>
          </cell>
          <cell r="H81" t="str">
            <v>DNF 30 X 30</v>
          </cell>
          <cell r="I81" t="str">
            <v>ANY</v>
          </cell>
          <cell r="J81" t="str">
            <v>$</v>
          </cell>
          <cell r="K81">
            <v>45</v>
          </cell>
          <cell r="L81" t="str">
            <v>PC</v>
          </cell>
          <cell r="M81" t="str">
            <v>Mr. Mark Agno</v>
          </cell>
          <cell r="N81" t="str">
            <v>Maintenance Parts &amp; Supplies</v>
          </cell>
        </row>
        <row r="82">
          <cell r="E82" t="str">
            <v>JIG26-01-0050 EXHAUST FAN FOR CID1</v>
          </cell>
          <cell r="F82" t="str">
            <v>JIG</v>
          </cell>
          <cell r="G82" t="str">
            <v>EXHAUST FAN</v>
          </cell>
          <cell r="H82" t="str">
            <v>FAD25-4</v>
          </cell>
          <cell r="I82" t="str">
            <v>ANY</v>
          </cell>
          <cell r="J82" t="str">
            <v>PHP</v>
          </cell>
          <cell r="K82">
            <v>3800</v>
          </cell>
          <cell r="L82" t="str">
            <v>PC</v>
          </cell>
          <cell r="M82" t="str">
            <v>Mr. Mark Agno</v>
          </cell>
          <cell r="N82" t="str">
            <v>Maintenance Parts &amp; Supplies</v>
          </cell>
        </row>
        <row r="83">
          <cell r="E83" t="str">
            <v>JIG26-01-0051 OFFICE SUPPLIES1</v>
          </cell>
          <cell r="F83" t="str">
            <v>JIG</v>
          </cell>
          <cell r="G83" t="str">
            <v>TERMINAL APPEARANCE VERIFICATION LOG SHEET</v>
          </cell>
          <cell r="H83" t="str">
            <v>Q24FC-0108</v>
          </cell>
          <cell r="I83" t="str">
            <v>ANY</v>
          </cell>
          <cell r="J83" t="str">
            <v>PHP</v>
          </cell>
          <cell r="K83">
            <v>260</v>
          </cell>
          <cell r="L83" t="str">
            <v>REAM</v>
          </cell>
          <cell r="M83" t="str">
            <v>Mr. Mark Agno</v>
          </cell>
          <cell r="N83" t="str">
            <v>OSE</v>
          </cell>
        </row>
        <row r="84">
          <cell r="E84" t="str">
            <v>JIG26-01-0052 COMMON MATERIALS1</v>
          </cell>
          <cell r="G84" t="str">
            <v>MAGNET</v>
          </cell>
          <cell r="H84" t="str">
            <v>10MM X 10MM X 2MM</v>
          </cell>
          <cell r="I84" t="str">
            <v>ANY</v>
          </cell>
          <cell r="J84" t="str">
            <v>PHP</v>
          </cell>
          <cell r="K84">
            <v>16</v>
          </cell>
          <cell r="L84" t="str">
            <v>PC</v>
          </cell>
          <cell r="M84" t="str">
            <v>Ms. Carla</v>
          </cell>
          <cell r="N84" t="str">
            <v>Maintenance Parts &amp; Supplies</v>
          </cell>
        </row>
        <row r="85">
          <cell r="E85" t="str">
            <v>JIG26-01-0017 AGV MODIFICATION2</v>
          </cell>
          <cell r="G85" t="str">
            <v>TOUCH SCREEN MONITOR</v>
          </cell>
          <cell r="H85" t="str">
            <v>EYOYO 10" IPS TOUCHSCREEN</v>
          </cell>
          <cell r="I85" t="str">
            <v>SHOPEE</v>
          </cell>
          <cell r="J85" t="str">
            <v>PHP</v>
          </cell>
          <cell r="K85">
            <v>3990</v>
          </cell>
          <cell r="L85" t="str">
            <v>PC</v>
          </cell>
          <cell r="M85" t="str">
            <v>Ms. Carla</v>
          </cell>
          <cell r="N85" t="str">
            <v>Maintenance Parts &amp; Supplies</v>
          </cell>
        </row>
        <row r="86">
          <cell r="E86" t="str">
            <v>JIG26-01-0053 COMMON MATERIALS1</v>
          </cell>
          <cell r="F86" t="str">
            <v>JIG</v>
          </cell>
          <cell r="G86" t="str">
            <v>ACRYLIC</v>
          </cell>
          <cell r="H86" t="str">
            <v>6MM 8FT X 4FT</v>
          </cell>
          <cell r="I86" t="str">
            <v>ANY</v>
          </cell>
          <cell r="J86" t="str">
            <v>PHP</v>
          </cell>
          <cell r="K86">
            <v>4000</v>
          </cell>
          <cell r="L86" t="str">
            <v>PC</v>
          </cell>
          <cell r="M86" t="str">
            <v>Mr. Mark Agno</v>
          </cell>
          <cell r="N86" t="str">
            <v>Maintenance Parts &amp; Supplies</v>
          </cell>
        </row>
        <row r="87">
          <cell r="E87" t="str">
            <v>JIG26-01-0053 COMMON MATERIALS2</v>
          </cell>
          <cell r="F87" t="str">
            <v>JIG</v>
          </cell>
          <cell r="G87" t="str">
            <v>ACRYLIC DIFFUSER</v>
          </cell>
          <cell r="H87" t="str">
            <v>WHITE 2MM X 4FT X 8FT</v>
          </cell>
          <cell r="I87" t="str">
            <v>ANY</v>
          </cell>
          <cell r="J87" t="str">
            <v>PHP</v>
          </cell>
          <cell r="K87">
            <v>1467</v>
          </cell>
          <cell r="L87" t="str">
            <v>PC</v>
          </cell>
          <cell r="M87" t="str">
            <v>Mr. Mark Agno</v>
          </cell>
          <cell r="N87" t="str">
            <v>Maintenance Parts &amp; Supplies</v>
          </cell>
        </row>
        <row r="88">
          <cell r="E88" t="str">
            <v>JIG26-01-0053 COMMON MATERIALS3</v>
          </cell>
          <cell r="F88" t="str">
            <v>JIG</v>
          </cell>
          <cell r="G88" t="str">
            <v>ACRYLIC DIFFUSER</v>
          </cell>
          <cell r="H88" t="str">
            <v>WHITE 3MM X 4FT X 8FT</v>
          </cell>
          <cell r="I88" t="str">
            <v>ANY</v>
          </cell>
          <cell r="J88" t="str">
            <v>PHP</v>
          </cell>
          <cell r="K88">
            <v>2200</v>
          </cell>
          <cell r="L88" t="str">
            <v>PC</v>
          </cell>
          <cell r="M88" t="str">
            <v>Mr. Mark Agno</v>
          </cell>
          <cell r="N88" t="str">
            <v>Maintenance Parts &amp; Supplies</v>
          </cell>
        </row>
        <row r="89">
          <cell r="E89" t="str">
            <v>JIG26-01-0054 SEMITEC AED1</v>
          </cell>
          <cell r="G89" t="str">
            <v>PANASONIC PLC</v>
          </cell>
          <cell r="H89" t="str">
            <v>BRAND NEW</v>
          </cell>
          <cell r="I89" t="str">
            <v>NESAS</v>
          </cell>
          <cell r="J89" t="str">
            <v>PHP</v>
          </cell>
          <cell r="K89">
            <v>9801</v>
          </cell>
          <cell r="L89" t="str">
            <v>PC</v>
          </cell>
          <cell r="M89" t="str">
            <v>Mr. Mark Agno</v>
          </cell>
          <cell r="N89" t="str">
            <v>Maintenance Parts &amp; Supplies</v>
          </cell>
        </row>
        <row r="90">
          <cell r="E90" t="str">
            <v>JIG26-01-0054 SEMITEC AED2</v>
          </cell>
          <cell r="G90" t="str">
            <v>EXPANSION UNIT</v>
          </cell>
          <cell r="H90" t="str">
            <v>FP0R-E32</v>
          </cell>
          <cell r="I90" t="str">
            <v>ANY</v>
          </cell>
          <cell r="J90" t="str">
            <v>PHP</v>
          </cell>
          <cell r="K90">
            <v>9400</v>
          </cell>
          <cell r="L90" t="str">
            <v>PC</v>
          </cell>
          <cell r="M90" t="str">
            <v>Mr. Mark Agno</v>
          </cell>
          <cell r="N90" t="str">
            <v>Maintenance Parts &amp; Supplies</v>
          </cell>
        </row>
        <row r="91">
          <cell r="E91" t="str">
            <v>JIG26-01-0054 SEMITEC AED3</v>
          </cell>
          <cell r="G91" t="str">
            <v xml:space="preserve">SWITCHING INDUSTRIAL POWER SUPPLY </v>
          </cell>
          <cell r="H91" t="str">
            <v>24V/2A</v>
          </cell>
          <cell r="I91" t="str">
            <v>ANY</v>
          </cell>
          <cell r="J91" t="str">
            <v>PHP</v>
          </cell>
          <cell r="K91">
            <v>425</v>
          </cell>
          <cell r="L91" t="str">
            <v>PC</v>
          </cell>
          <cell r="M91" t="str">
            <v>Mr. Mark Agno</v>
          </cell>
          <cell r="N91" t="str">
            <v>Maintenance Parts &amp; Supplies</v>
          </cell>
        </row>
        <row r="92">
          <cell r="E92" t="str">
            <v>JIG26-01-0054 SEMITEC AED4</v>
          </cell>
          <cell r="F92" t="str">
            <v>JIG</v>
          </cell>
          <cell r="G92" t="str">
            <v>RELAY MODULE</v>
          </cell>
          <cell r="H92" t="str">
            <v>24V 8CHANNEL</v>
          </cell>
          <cell r="I92" t="str">
            <v>ANY</v>
          </cell>
          <cell r="J92" t="str">
            <v>PHP</v>
          </cell>
          <cell r="K92">
            <v>345.29</v>
          </cell>
          <cell r="L92" t="str">
            <v>PC</v>
          </cell>
          <cell r="M92" t="str">
            <v>Mr. Mark Agno</v>
          </cell>
          <cell r="N92" t="str">
            <v>Maintenance Parts &amp; Supplies</v>
          </cell>
        </row>
        <row r="93">
          <cell r="E93" t="str">
            <v>JIG26-01-0054 SEMITEC AED5</v>
          </cell>
          <cell r="G93" t="str">
            <v>WAY CHANNEL RELAY MODULE HIGH LOW LEVEL W/ OPTO COUPLER</v>
          </cell>
          <cell r="H93" t="str">
            <v>5V 2 CHANNEL</v>
          </cell>
          <cell r="I93" t="str">
            <v>LAZADA</v>
          </cell>
          <cell r="J93" t="str">
            <v>PHP</v>
          </cell>
          <cell r="K93">
            <v>87</v>
          </cell>
          <cell r="L93" t="str">
            <v>PC</v>
          </cell>
          <cell r="M93" t="str">
            <v>Mr. Mark Agno</v>
          </cell>
          <cell r="N93" t="str">
            <v>Maintenance Parts &amp; Supplies</v>
          </cell>
        </row>
        <row r="94">
          <cell r="E94" t="str">
            <v>JIG26-01-0054 SEMITEC AED6</v>
          </cell>
          <cell r="G94" t="str">
            <v>TRANSISTOR</v>
          </cell>
          <cell r="H94" t="str">
            <v>C1815</v>
          </cell>
          <cell r="I94" t="str">
            <v>ANY</v>
          </cell>
          <cell r="J94" t="str">
            <v>PHP</v>
          </cell>
          <cell r="K94">
            <v>19</v>
          </cell>
          <cell r="L94" t="str">
            <v>PC</v>
          </cell>
          <cell r="M94" t="str">
            <v>Mr. Mark Agno</v>
          </cell>
          <cell r="N94" t="str">
            <v>Maintenance Parts &amp; Supplies</v>
          </cell>
        </row>
        <row r="95">
          <cell r="E95" t="str">
            <v>JIG26-01-0054 SEMITEC AED7</v>
          </cell>
          <cell r="G95" t="str">
            <v xml:space="preserve">RESISTOR </v>
          </cell>
          <cell r="H95" t="str">
            <v>10K Ω</v>
          </cell>
          <cell r="I95" t="str">
            <v>ANY</v>
          </cell>
          <cell r="J95" t="str">
            <v>PHP</v>
          </cell>
          <cell r="K95">
            <v>2</v>
          </cell>
          <cell r="L95" t="str">
            <v>PC</v>
          </cell>
          <cell r="M95" t="str">
            <v>Mr. Mark Agno</v>
          </cell>
          <cell r="N95" t="str">
            <v>Maintenance Parts &amp; Supplies</v>
          </cell>
        </row>
        <row r="96">
          <cell r="E96" t="str">
            <v>JIG26-01-0054 SEMITEC AED8</v>
          </cell>
          <cell r="G96" t="str">
            <v>STEP UP MODULE BOOST CONVERTED BOARD 5A</v>
          </cell>
          <cell r="H96" t="str">
            <v>XH-M411</v>
          </cell>
          <cell r="I96" t="str">
            <v>SHOPEE</v>
          </cell>
          <cell r="J96" t="str">
            <v>PHP</v>
          </cell>
          <cell r="K96">
            <v>143</v>
          </cell>
          <cell r="L96" t="str">
            <v>PC</v>
          </cell>
          <cell r="M96" t="str">
            <v>Mr. Mark Agno</v>
          </cell>
          <cell r="N96" t="str">
            <v>Maintenance Parts &amp; Supplies</v>
          </cell>
        </row>
        <row r="97">
          <cell r="E97" t="str">
            <v>JIG26-01-0054 SEMITEC AED9</v>
          </cell>
          <cell r="F97" t="str">
            <v>JIG</v>
          </cell>
          <cell r="G97" t="str">
            <v>SOLENOID VALVE 24V</v>
          </cell>
          <cell r="H97" t="str">
            <v>SY3120-5LZD-M5</v>
          </cell>
          <cell r="I97" t="str">
            <v>ANY</v>
          </cell>
          <cell r="J97" t="str">
            <v>PHP</v>
          </cell>
          <cell r="K97">
            <v>1500</v>
          </cell>
          <cell r="L97" t="str">
            <v>PC</v>
          </cell>
          <cell r="M97" t="str">
            <v>Mr. Mark Agno</v>
          </cell>
          <cell r="N97" t="str">
            <v>Maintenance Parts &amp; Supplies</v>
          </cell>
        </row>
        <row r="98">
          <cell r="E98" t="str">
            <v>JIG26-01-0054 SEMITEC AED10</v>
          </cell>
          <cell r="F98" t="str">
            <v>JIG</v>
          </cell>
          <cell r="G98" t="str">
            <v>FITTINGS</v>
          </cell>
          <cell r="H98" t="str">
            <v>KQ2S04-M5A</v>
          </cell>
          <cell r="I98" t="str">
            <v>ANY</v>
          </cell>
          <cell r="J98" t="str">
            <v>PHP</v>
          </cell>
          <cell r="K98">
            <v>184</v>
          </cell>
          <cell r="L98" t="str">
            <v>PC</v>
          </cell>
          <cell r="M98" t="str">
            <v>Mr. Mark Agno</v>
          </cell>
          <cell r="N98" t="str">
            <v>Maintenance Parts &amp; Supplies</v>
          </cell>
        </row>
        <row r="99">
          <cell r="E99" t="str">
            <v>JIG26-01-0054 SEMITEC AED11</v>
          </cell>
          <cell r="G99" t="str">
            <v>FITTINGS</v>
          </cell>
          <cell r="H99" t="str">
            <v>AS1201F-M3-04A</v>
          </cell>
          <cell r="I99" t="str">
            <v>ANY</v>
          </cell>
          <cell r="J99" t="str">
            <v>PHP</v>
          </cell>
          <cell r="K99">
            <v>275</v>
          </cell>
          <cell r="L99" t="str">
            <v>PC</v>
          </cell>
          <cell r="M99" t="str">
            <v>Mr. Mark Agno</v>
          </cell>
          <cell r="N99" t="str">
            <v>Maintenance Parts &amp; Supplies</v>
          </cell>
        </row>
        <row r="100">
          <cell r="E100" t="str">
            <v>JIG26-01-0054 SEMITEC AED12</v>
          </cell>
          <cell r="G100" t="str">
            <v>CYLINDER</v>
          </cell>
          <cell r="H100" t="str">
            <v>CUJB10-15DM</v>
          </cell>
          <cell r="I100" t="str">
            <v>ANY</v>
          </cell>
          <cell r="J100" t="str">
            <v>PHP</v>
          </cell>
          <cell r="K100">
            <v>1400</v>
          </cell>
          <cell r="L100" t="str">
            <v>PC</v>
          </cell>
          <cell r="M100" t="str">
            <v>Mr. Mark Agno</v>
          </cell>
          <cell r="N100" t="str">
            <v>Maintenance Parts &amp; Supplies</v>
          </cell>
        </row>
        <row r="101">
          <cell r="E101" t="str">
            <v>JIG26-01-0054 SEMITEC AED13</v>
          </cell>
          <cell r="G101" t="str">
            <v>SPLITTER</v>
          </cell>
          <cell r="H101" t="str">
            <v>KQ2U04-00A</v>
          </cell>
          <cell r="I101" t="str">
            <v>ANY</v>
          </cell>
          <cell r="J101" t="str">
            <v>PHP</v>
          </cell>
          <cell r="K101">
            <v>140</v>
          </cell>
          <cell r="L101" t="str">
            <v>PC</v>
          </cell>
          <cell r="M101" t="str">
            <v>Mr. Mark Agno</v>
          </cell>
          <cell r="N101" t="str">
            <v>Maintenance Parts &amp; Supplies</v>
          </cell>
        </row>
        <row r="102">
          <cell r="E102" t="str">
            <v>JIG26-01-0054 SEMITEC AED14</v>
          </cell>
          <cell r="G102" t="str">
            <v>MAGNETIC SENSOR (REED SWITCH)</v>
          </cell>
          <cell r="H102" t="str">
            <v>PS-3150</v>
          </cell>
          <cell r="I102" t="str">
            <v>NESAS</v>
          </cell>
          <cell r="J102" t="str">
            <v>PHP</v>
          </cell>
          <cell r="K102">
            <v>130</v>
          </cell>
          <cell r="L102" t="str">
            <v>PC</v>
          </cell>
          <cell r="M102" t="str">
            <v>Mr. Mark Agno</v>
          </cell>
          <cell r="N102" t="str">
            <v>Maintenance Parts &amp; Supplies</v>
          </cell>
        </row>
        <row r="103">
          <cell r="E103" t="str">
            <v>JIG26-01-0054 SEMITEC AED15</v>
          </cell>
          <cell r="G103" t="str">
            <v>MINI BUZZER</v>
          </cell>
          <cell r="H103" t="str">
            <v>-</v>
          </cell>
          <cell r="I103" t="str">
            <v>ANY</v>
          </cell>
          <cell r="J103" t="str">
            <v>PHP</v>
          </cell>
          <cell r="K103">
            <v>55</v>
          </cell>
          <cell r="L103" t="str">
            <v>PC</v>
          </cell>
          <cell r="M103" t="str">
            <v>Mr. Mark Agno</v>
          </cell>
          <cell r="N103" t="str">
            <v>Maintenance Parts &amp; Supplies</v>
          </cell>
        </row>
        <row r="104">
          <cell r="E104" t="str">
            <v>JIG26-01-0055 COMMON MATERIALS1</v>
          </cell>
          <cell r="F104" t="str">
            <v>JIG</v>
          </cell>
          <cell r="G104" t="str">
            <v>LINEAR GUIDE</v>
          </cell>
          <cell r="H104" t="str">
            <v>E-GMLG9-150</v>
          </cell>
          <cell r="I104" t="str">
            <v>RASO</v>
          </cell>
          <cell r="J104" t="str">
            <v>PHP</v>
          </cell>
          <cell r="K104">
            <v>716.1</v>
          </cell>
          <cell r="L104" t="str">
            <v>PC</v>
          </cell>
          <cell r="M104" t="str">
            <v>Mr. Mark Agno</v>
          </cell>
          <cell r="N104" t="str">
            <v>Maintenance Parts &amp; Supplies</v>
          </cell>
        </row>
        <row r="105">
          <cell r="E105" t="str">
            <v>JIG26-01-0056 SEMITEC AED1</v>
          </cell>
          <cell r="G105" t="str">
            <v>PANASONIC PLC</v>
          </cell>
          <cell r="H105" t="str">
            <v>BRAND NEW</v>
          </cell>
          <cell r="I105" t="str">
            <v>NESAS</v>
          </cell>
          <cell r="J105" t="str">
            <v>PHP</v>
          </cell>
          <cell r="K105">
            <v>9801</v>
          </cell>
          <cell r="L105" t="str">
            <v>PC</v>
          </cell>
          <cell r="M105" t="str">
            <v>Mr. Mark Agno</v>
          </cell>
          <cell r="N105" t="str">
            <v>Maintenance Parts &amp; Supplies</v>
          </cell>
        </row>
        <row r="106">
          <cell r="E106" t="str">
            <v>JIG26-01-0056 SEMITEC AED2</v>
          </cell>
          <cell r="G106" t="str">
            <v>EXPANSION UNIT</v>
          </cell>
          <cell r="H106" t="str">
            <v>FP0R-E32</v>
          </cell>
          <cell r="I106" t="str">
            <v>ANY</v>
          </cell>
          <cell r="J106" t="str">
            <v>PHP</v>
          </cell>
          <cell r="K106">
            <v>9400</v>
          </cell>
          <cell r="L106" t="str">
            <v>PC</v>
          </cell>
          <cell r="M106" t="str">
            <v>Mr. Mark Agno</v>
          </cell>
          <cell r="N106" t="str">
            <v>Maintenance Parts &amp; Supplies</v>
          </cell>
        </row>
        <row r="107">
          <cell r="E107" t="str">
            <v>JIG26-01-0056 SEMITEC AED3</v>
          </cell>
          <cell r="G107" t="str">
            <v xml:space="preserve">SWITCHING INDUSTRIAL POWER SUPPLY </v>
          </cell>
          <cell r="H107" t="str">
            <v>24V/2A</v>
          </cell>
          <cell r="I107" t="str">
            <v>ANY</v>
          </cell>
          <cell r="J107" t="str">
            <v>PHP</v>
          </cell>
          <cell r="K107">
            <v>425</v>
          </cell>
          <cell r="L107" t="str">
            <v>PC</v>
          </cell>
          <cell r="M107" t="str">
            <v>Mr. Mark Agno</v>
          </cell>
          <cell r="N107" t="str">
            <v>Maintenance Parts &amp; Supplies</v>
          </cell>
        </row>
        <row r="108">
          <cell r="E108" t="str">
            <v>JIG26-01-0056 SEMITEC AED4</v>
          </cell>
          <cell r="F108" t="str">
            <v>JIG</v>
          </cell>
          <cell r="G108" t="str">
            <v>RELAY MODULE</v>
          </cell>
          <cell r="H108" t="str">
            <v>24V 8CHANNEL</v>
          </cell>
          <cell r="I108" t="str">
            <v>ANY</v>
          </cell>
          <cell r="J108" t="str">
            <v>PHP</v>
          </cell>
          <cell r="K108">
            <v>345.29</v>
          </cell>
          <cell r="L108" t="str">
            <v>PC</v>
          </cell>
          <cell r="M108" t="str">
            <v>Mr. Mark Agno</v>
          </cell>
          <cell r="N108" t="str">
            <v>Maintenance Parts &amp; Supplies</v>
          </cell>
        </row>
        <row r="109">
          <cell r="E109" t="str">
            <v>JIG26-01-0056 SEMITEC AED5</v>
          </cell>
          <cell r="G109" t="str">
            <v>WAY CHANNEL RELAY MODULE HIGH LOW LEVEL W/ OPTO COUPLER</v>
          </cell>
          <cell r="H109" t="str">
            <v>5V 2 CHANNEL</v>
          </cell>
          <cell r="I109" t="str">
            <v>LAZADA</v>
          </cell>
          <cell r="J109" t="str">
            <v>PHP</v>
          </cell>
          <cell r="K109">
            <v>87</v>
          </cell>
          <cell r="L109" t="str">
            <v>PC</v>
          </cell>
          <cell r="M109" t="str">
            <v>Mr. Mark Agno</v>
          </cell>
          <cell r="N109" t="str">
            <v>Maintenance Parts &amp; Supplies</v>
          </cell>
        </row>
        <row r="110">
          <cell r="E110" t="str">
            <v>JIG26-01-0056 SEMITEC AED6</v>
          </cell>
          <cell r="G110" t="str">
            <v>TRANSISTOR</v>
          </cell>
          <cell r="H110" t="str">
            <v>C1815</v>
          </cell>
          <cell r="I110" t="str">
            <v>ANY</v>
          </cell>
          <cell r="J110" t="str">
            <v>PHP</v>
          </cell>
          <cell r="K110">
            <v>19</v>
          </cell>
          <cell r="L110" t="str">
            <v>PC</v>
          </cell>
          <cell r="M110" t="str">
            <v>Mr. Mark Agno</v>
          </cell>
          <cell r="N110" t="str">
            <v>Maintenance Parts &amp; Supplies</v>
          </cell>
        </row>
        <row r="111">
          <cell r="E111" t="str">
            <v>JIG26-01-0056 SEMITEC AED7</v>
          </cell>
          <cell r="G111" t="str">
            <v xml:space="preserve">RESISTOR </v>
          </cell>
          <cell r="H111" t="str">
            <v>10K Ω</v>
          </cell>
          <cell r="I111" t="str">
            <v>ANY</v>
          </cell>
          <cell r="J111" t="str">
            <v>PHP</v>
          </cell>
          <cell r="K111">
            <v>2</v>
          </cell>
          <cell r="L111" t="str">
            <v>PC</v>
          </cell>
          <cell r="M111" t="str">
            <v>Mr. Mark Agno</v>
          </cell>
          <cell r="N111" t="str">
            <v>Maintenance Parts &amp; Supplies</v>
          </cell>
        </row>
        <row r="112">
          <cell r="E112" t="str">
            <v>JIG26-01-0056 SEMITEC AED8</v>
          </cell>
          <cell r="F112" t="str">
            <v>JIG</v>
          </cell>
          <cell r="G112" t="str">
            <v>SOLENOID VALVE 24V</v>
          </cell>
          <cell r="H112" t="str">
            <v>SY3120-5LZD-M5</v>
          </cell>
          <cell r="I112" t="str">
            <v>ANY</v>
          </cell>
          <cell r="J112" t="str">
            <v>PHP</v>
          </cell>
          <cell r="K112">
            <v>1500</v>
          </cell>
          <cell r="L112" t="str">
            <v>PC</v>
          </cell>
          <cell r="M112" t="str">
            <v>Mr. Mark Agno</v>
          </cell>
          <cell r="N112" t="str">
            <v>Maintenance Parts &amp; Supplies</v>
          </cell>
        </row>
        <row r="113">
          <cell r="E113" t="str">
            <v>JIG26-01-0056 SEMITEC AED9</v>
          </cell>
          <cell r="F113" t="str">
            <v>JIG</v>
          </cell>
          <cell r="G113" t="str">
            <v>FITTINGS</v>
          </cell>
          <cell r="H113" t="str">
            <v>KQ2S04-M5A</v>
          </cell>
          <cell r="I113" t="str">
            <v>ANY</v>
          </cell>
          <cell r="J113" t="str">
            <v>PHP</v>
          </cell>
          <cell r="K113">
            <v>184</v>
          </cell>
          <cell r="L113" t="str">
            <v>PC</v>
          </cell>
          <cell r="M113" t="str">
            <v>Mr. Mark Agno</v>
          </cell>
          <cell r="N113" t="str">
            <v>Maintenance Parts &amp; Supplies</v>
          </cell>
        </row>
        <row r="114">
          <cell r="E114" t="str">
            <v>JIG26-01-0056 SEMITEC AED10</v>
          </cell>
          <cell r="G114" t="str">
            <v>FITTINGS</v>
          </cell>
          <cell r="H114" t="str">
            <v>AS1201F-M3-04A</v>
          </cell>
          <cell r="I114" t="str">
            <v>ANY</v>
          </cell>
          <cell r="J114" t="str">
            <v>PHP</v>
          </cell>
          <cell r="K114">
            <v>275</v>
          </cell>
          <cell r="L114" t="str">
            <v>PC</v>
          </cell>
          <cell r="M114" t="str">
            <v>Mr. Mark Agno</v>
          </cell>
          <cell r="N114" t="str">
            <v>Maintenance Parts &amp; Supplies</v>
          </cell>
        </row>
        <row r="115">
          <cell r="E115" t="str">
            <v>JIG26-01-0056 SEMITEC AED11</v>
          </cell>
          <cell r="G115" t="str">
            <v>CYLINDER</v>
          </cell>
          <cell r="H115" t="str">
            <v>CUJB10-15DM</v>
          </cell>
          <cell r="I115" t="str">
            <v>ANY</v>
          </cell>
          <cell r="J115" t="str">
            <v>PHP</v>
          </cell>
          <cell r="K115">
            <v>1400</v>
          </cell>
          <cell r="L115" t="str">
            <v>PC</v>
          </cell>
          <cell r="M115" t="str">
            <v>Mr. Mark Agno</v>
          </cell>
          <cell r="N115" t="str">
            <v>Maintenance Parts &amp; Supplies</v>
          </cell>
        </row>
        <row r="116">
          <cell r="E116" t="str">
            <v>JIG26-01-0056 SEMITEC AED12</v>
          </cell>
          <cell r="G116" t="str">
            <v>SPLITTER</v>
          </cell>
          <cell r="H116" t="str">
            <v>KQ2U04-00A</v>
          </cell>
          <cell r="I116" t="str">
            <v>ANY</v>
          </cell>
          <cell r="J116" t="str">
            <v>PHP</v>
          </cell>
          <cell r="K116">
            <v>140</v>
          </cell>
          <cell r="L116" t="str">
            <v>PC</v>
          </cell>
          <cell r="M116" t="str">
            <v>Mr. Mark Agno</v>
          </cell>
          <cell r="N116" t="str">
            <v>Maintenance Parts &amp; Supplies</v>
          </cell>
        </row>
        <row r="117">
          <cell r="E117" t="str">
            <v>JIG26-01-0056 SEMITEC AED13</v>
          </cell>
          <cell r="G117" t="str">
            <v>MAGNETIC SENSOR (REED SWITCH)</v>
          </cell>
          <cell r="H117" t="str">
            <v>PS-3150</v>
          </cell>
          <cell r="I117" t="str">
            <v>NESAS</v>
          </cell>
          <cell r="J117" t="str">
            <v>PHP</v>
          </cell>
          <cell r="K117">
            <v>130</v>
          </cell>
          <cell r="L117" t="str">
            <v>PC</v>
          </cell>
          <cell r="M117" t="str">
            <v>Mr. Mark Agno</v>
          </cell>
          <cell r="N117" t="str">
            <v>Maintenance Parts &amp; Supplies</v>
          </cell>
        </row>
        <row r="118">
          <cell r="E118" t="str">
            <v>JIG26-01-0056 SEMITEC AED14</v>
          </cell>
          <cell r="G118" t="str">
            <v>MINI BUZZER</v>
          </cell>
          <cell r="H118" t="str">
            <v>-</v>
          </cell>
          <cell r="I118" t="str">
            <v>ANY</v>
          </cell>
          <cell r="J118" t="str">
            <v>PHP</v>
          </cell>
          <cell r="K118">
            <v>55</v>
          </cell>
          <cell r="L118" t="str">
            <v>PC</v>
          </cell>
          <cell r="M118" t="str">
            <v>Mr. Mark Agno</v>
          </cell>
          <cell r="N118" t="str">
            <v>Maintenance Parts &amp; Supplies</v>
          </cell>
        </row>
        <row r="119">
          <cell r="E119" t="str">
            <v>JIG26-01-0057 DATA SYSTEM AED1</v>
          </cell>
          <cell r="G119" t="str">
            <v>PANASONIC PLC (BRAND NEW)</v>
          </cell>
          <cell r="H119" t="str">
            <v>FP0-C32</v>
          </cell>
          <cell r="I119" t="str">
            <v>NESAS</v>
          </cell>
          <cell r="J119" t="str">
            <v>PHP</v>
          </cell>
          <cell r="K119">
            <v>9801</v>
          </cell>
          <cell r="L119" t="str">
            <v>PC</v>
          </cell>
          <cell r="M119" t="str">
            <v>Mr. Mark Agno</v>
          </cell>
          <cell r="N119" t="str">
            <v>Maintenance Parts &amp; Supplies</v>
          </cell>
        </row>
        <row r="120">
          <cell r="E120" t="str">
            <v>JIG26-01-0057 DATA SYSTEM AED2</v>
          </cell>
          <cell r="G120" t="str">
            <v>SMC MAGNETIC SWITCH</v>
          </cell>
          <cell r="H120" t="str">
            <v>3C-D-A93L</v>
          </cell>
          <cell r="I120" t="str">
            <v>ANY</v>
          </cell>
          <cell r="J120" t="str">
            <v>PHP</v>
          </cell>
          <cell r="K120">
            <v>288</v>
          </cell>
          <cell r="L120" t="str">
            <v>PC</v>
          </cell>
          <cell r="M120" t="str">
            <v>Mr. Mark Agno</v>
          </cell>
          <cell r="N120" t="str">
            <v>Maintenance Parts &amp; Supplies</v>
          </cell>
        </row>
        <row r="121">
          <cell r="E121" t="str">
            <v>JIG26-01-0057 DATA SYSTEM AED3</v>
          </cell>
          <cell r="G121" t="str">
            <v>CYLINDER</v>
          </cell>
          <cell r="H121" t="str">
            <v>MHZ-25D3-X2908</v>
          </cell>
          <cell r="I121" t="str">
            <v>ANY</v>
          </cell>
          <cell r="J121" t="str">
            <v>PHP</v>
          </cell>
          <cell r="K121">
            <v>4250</v>
          </cell>
          <cell r="L121" t="str">
            <v>PC</v>
          </cell>
          <cell r="M121" t="str">
            <v>Mr. Mark Agno</v>
          </cell>
          <cell r="N121" t="str">
            <v>Maintenance Parts &amp; Supplies</v>
          </cell>
        </row>
        <row r="122">
          <cell r="E122" t="str">
            <v>JIG26-01-0057 DATA SYSTEM AED4</v>
          </cell>
          <cell r="F122" t="str">
            <v>JIG</v>
          </cell>
          <cell r="G122" t="str">
            <v>SOLENOID VALVE 24V</v>
          </cell>
          <cell r="H122" t="str">
            <v>SY3120-5LZD-M5</v>
          </cell>
          <cell r="I122" t="str">
            <v>ANY</v>
          </cell>
          <cell r="J122" t="str">
            <v>PHP</v>
          </cell>
          <cell r="K122">
            <v>1500</v>
          </cell>
          <cell r="L122" t="str">
            <v>PC</v>
          </cell>
          <cell r="M122" t="str">
            <v>Mr. Mark Agno</v>
          </cell>
          <cell r="N122" t="str">
            <v>Maintenance Parts &amp; Supplies</v>
          </cell>
        </row>
        <row r="123">
          <cell r="E123" t="str">
            <v>JIG26-01-0057 DATA SYSTEM AED5</v>
          </cell>
          <cell r="G123" t="str">
            <v xml:space="preserve">SWITCHING INDUSTRIAL POWER SUPPLY </v>
          </cell>
          <cell r="H123" t="str">
            <v>24V/2A</v>
          </cell>
          <cell r="I123" t="str">
            <v>ANY</v>
          </cell>
          <cell r="J123" t="str">
            <v>PHP</v>
          </cell>
          <cell r="K123">
            <v>425</v>
          </cell>
          <cell r="L123" t="str">
            <v>PC</v>
          </cell>
          <cell r="M123" t="str">
            <v>Mr. Mark Agno</v>
          </cell>
          <cell r="N123" t="str">
            <v>Maintenance Parts &amp; Supplies</v>
          </cell>
        </row>
        <row r="124">
          <cell r="E124" t="str">
            <v>JIG26-01-0057 DATA SYSTEM AED6</v>
          </cell>
          <cell r="G124" t="str">
            <v>FITTINGS</v>
          </cell>
          <cell r="H124" t="str">
            <v>AS1201F-M3-04A</v>
          </cell>
          <cell r="I124" t="str">
            <v>ANY</v>
          </cell>
          <cell r="J124" t="str">
            <v>PHP</v>
          </cell>
          <cell r="K124">
            <v>275</v>
          </cell>
          <cell r="L124" t="str">
            <v>PC</v>
          </cell>
          <cell r="M124" t="str">
            <v>Mr. Mark Agno</v>
          </cell>
          <cell r="N124" t="str">
            <v>Maintenance Parts &amp; Supplies</v>
          </cell>
        </row>
        <row r="125">
          <cell r="E125" t="str">
            <v>JIG26-01-0057 DATA SYSTEM AED7</v>
          </cell>
          <cell r="F125" t="str">
            <v>JIG</v>
          </cell>
          <cell r="G125" t="str">
            <v>FITTINGS</v>
          </cell>
          <cell r="H125" t="str">
            <v>KQ2L04-M5A</v>
          </cell>
          <cell r="I125" t="str">
            <v>ANY</v>
          </cell>
          <cell r="J125" t="str">
            <v>PHP</v>
          </cell>
          <cell r="K125">
            <v>125</v>
          </cell>
          <cell r="L125" t="str">
            <v>PC</v>
          </cell>
          <cell r="M125" t="str">
            <v>Mr. Mark Agno</v>
          </cell>
          <cell r="N125" t="str">
            <v>Maintenance Parts &amp; Supplies</v>
          </cell>
        </row>
        <row r="126">
          <cell r="E126" t="str">
            <v>JIG26-01-0057 DATA SYSTEM AED8</v>
          </cell>
          <cell r="F126" t="str">
            <v>JIG</v>
          </cell>
          <cell r="G126" t="str">
            <v>STEPPER MOTOR NEMA 23 19KG-CM</v>
          </cell>
          <cell r="H126" t="str">
            <v>57BYGH627</v>
          </cell>
          <cell r="I126" t="str">
            <v>ANY</v>
          </cell>
          <cell r="J126" t="str">
            <v>PHP</v>
          </cell>
          <cell r="K126">
            <v>1485</v>
          </cell>
          <cell r="L126" t="str">
            <v>PC</v>
          </cell>
          <cell r="M126" t="str">
            <v>Mr. Mark Agno</v>
          </cell>
          <cell r="N126" t="str">
            <v>Maintenance Parts &amp; Supplies</v>
          </cell>
        </row>
        <row r="127">
          <cell r="E127" t="str">
            <v>JIG26-01-0057 DATA SYSTEM AED9</v>
          </cell>
          <cell r="F127" t="str">
            <v>JIG</v>
          </cell>
          <cell r="G127" t="str">
            <v>STEPPER MOTOR DRIVER</v>
          </cell>
          <cell r="H127" t="str">
            <v>DQ542MA 4A</v>
          </cell>
          <cell r="I127" t="str">
            <v>ANY</v>
          </cell>
          <cell r="J127" t="str">
            <v>PHP</v>
          </cell>
          <cell r="K127">
            <v>2419</v>
          </cell>
          <cell r="L127" t="str">
            <v>PC</v>
          </cell>
          <cell r="M127" t="str">
            <v>Mr. Mark Agno</v>
          </cell>
          <cell r="N127" t="str">
            <v>Maintenance Parts &amp; Supplies</v>
          </cell>
        </row>
        <row r="128">
          <cell r="E128" t="str">
            <v>JIG26-01-0057 DATA SYSTEM AED10</v>
          </cell>
          <cell r="F128" t="str">
            <v>JIG</v>
          </cell>
          <cell r="G128" t="str">
            <v>COUNTER TIMER DELTA</v>
          </cell>
          <cell r="H128" t="str">
            <v>CTA4</v>
          </cell>
          <cell r="I128" t="str">
            <v>ANY</v>
          </cell>
          <cell r="J128" t="str">
            <v>PHP</v>
          </cell>
          <cell r="K128">
            <v>4500</v>
          </cell>
          <cell r="L128" t="str">
            <v>PC</v>
          </cell>
          <cell r="M128" t="str">
            <v>Mr. Mark Agno</v>
          </cell>
          <cell r="N128" t="str">
            <v>Maintenance Parts &amp; Supplies</v>
          </cell>
        </row>
        <row r="129">
          <cell r="E129" t="str">
            <v>JIG26-01-0057 DATA SYSTEM AED11</v>
          </cell>
          <cell r="F129" t="str">
            <v>JIG</v>
          </cell>
          <cell r="G129" t="str">
            <v>CYLINDER</v>
          </cell>
          <cell r="H129" t="str">
            <v>MXS8-40</v>
          </cell>
          <cell r="I129" t="str">
            <v>ANY</v>
          </cell>
          <cell r="J129" t="str">
            <v>PHP</v>
          </cell>
          <cell r="K129">
            <v>3131</v>
          </cell>
          <cell r="L129" t="str">
            <v>PC</v>
          </cell>
          <cell r="M129" t="str">
            <v>Mr. Mark Agno</v>
          </cell>
          <cell r="N129" t="str">
            <v>Maintenance Parts &amp; Supplies</v>
          </cell>
        </row>
        <row r="130">
          <cell r="E130" t="str">
            <v>JIG26-01-0057 DATA SYSTEM AED12</v>
          </cell>
          <cell r="G130" t="str">
            <v>SPLITTER</v>
          </cell>
          <cell r="H130" t="str">
            <v>KQ2U04-00A</v>
          </cell>
          <cell r="I130" t="str">
            <v>ANY</v>
          </cell>
          <cell r="J130" t="str">
            <v>PHP</v>
          </cell>
          <cell r="K130">
            <v>140</v>
          </cell>
          <cell r="L130" t="str">
            <v>PC</v>
          </cell>
          <cell r="M130" t="str">
            <v>Mr. Mark Agno</v>
          </cell>
          <cell r="N130" t="str">
            <v>Maintenance Parts &amp; Supplies</v>
          </cell>
        </row>
        <row r="131">
          <cell r="E131" t="str">
            <v>JIG26-01-0057 DATA SYSTEM AED13</v>
          </cell>
          <cell r="G131" t="str">
            <v>FEED ROLLER</v>
          </cell>
          <cell r="H131" t="str">
            <v xml:space="preserve"> RUBBER TYPE 12Ø</v>
          </cell>
          <cell r="I131" t="str">
            <v>KINGSING</v>
          </cell>
          <cell r="J131" t="str">
            <v>$</v>
          </cell>
          <cell r="K131">
            <v>100</v>
          </cell>
          <cell r="L131" t="str">
            <v>SET</v>
          </cell>
          <cell r="M131" t="str">
            <v>Mr. Mark Agno</v>
          </cell>
          <cell r="N131" t="str">
            <v>Maintenance Parts &amp; Supplies</v>
          </cell>
        </row>
        <row r="132">
          <cell r="E132" t="str">
            <v>JIG26-01-0058 BASEPIN DENSOTEN AED1</v>
          </cell>
          <cell r="G132" t="str">
            <v>R-HOHRBK002585 (BASEPIN)</v>
          </cell>
          <cell r="H132" t="str">
            <v>DF52-10S-0.8H(21) BLACK</v>
          </cell>
          <cell r="I132" t="str">
            <v>HIROSE</v>
          </cell>
          <cell r="J132" t="str">
            <v>$</v>
          </cell>
          <cell r="K132">
            <v>4.9000000000000004</v>
          </cell>
          <cell r="L132" t="str">
            <v>PC</v>
          </cell>
          <cell r="M132" t="str">
            <v>Ms. Rhona Lambon</v>
          </cell>
          <cell r="N132" t="str">
            <v>Maintenance Parts &amp; Supplies</v>
          </cell>
        </row>
        <row r="133">
          <cell r="E133" t="str">
            <v>JIG26-01-0059 COMMON MATERIALS1</v>
          </cell>
          <cell r="G133" t="str">
            <v xml:space="preserve">WOOD SCREW </v>
          </cell>
          <cell r="H133" t="str">
            <v xml:space="preserve">NO. 4 1/2 </v>
          </cell>
          <cell r="I133" t="str">
            <v>ANY</v>
          </cell>
          <cell r="J133" t="str">
            <v>PHP</v>
          </cell>
          <cell r="K133">
            <v>1</v>
          </cell>
          <cell r="L133" t="str">
            <v>PC</v>
          </cell>
          <cell r="M133" t="str">
            <v>Mr. Mark Agno</v>
          </cell>
          <cell r="N133" t="str">
            <v>Maintenance Parts &amp; Supplies</v>
          </cell>
        </row>
        <row r="134">
          <cell r="E134" t="str">
            <v>JIG26-01-0059 COMMON MATERIALS2</v>
          </cell>
          <cell r="G134" t="str">
            <v xml:space="preserve">WOOD SCREW </v>
          </cell>
          <cell r="H134" t="str">
            <v>NO. 4 3/8</v>
          </cell>
          <cell r="I134" t="str">
            <v>ANY</v>
          </cell>
          <cell r="J134" t="str">
            <v>PHP</v>
          </cell>
          <cell r="K134">
            <v>1</v>
          </cell>
          <cell r="L134" t="str">
            <v>PC</v>
          </cell>
          <cell r="M134" t="str">
            <v>Mr. Mark Agno</v>
          </cell>
          <cell r="N134" t="str">
            <v>Maintenance Parts &amp; Supplies</v>
          </cell>
        </row>
        <row r="135">
          <cell r="E135" t="str">
            <v>JIG26-01-0059 COMMON MATERIALS3</v>
          </cell>
          <cell r="G135" t="str">
            <v xml:space="preserve">WOOD SCREW </v>
          </cell>
          <cell r="H135" t="str">
            <v xml:space="preserve">NO. 4 3/4 </v>
          </cell>
          <cell r="I135" t="str">
            <v>ANY</v>
          </cell>
          <cell r="J135" t="str">
            <v>PHP</v>
          </cell>
          <cell r="K135">
            <v>1.25</v>
          </cell>
          <cell r="L135" t="str">
            <v>PC</v>
          </cell>
          <cell r="M135" t="str">
            <v>Mr. Mark Agno</v>
          </cell>
          <cell r="N135" t="str">
            <v>Maintenance Parts &amp; Supplies</v>
          </cell>
        </row>
        <row r="136">
          <cell r="E136" t="str">
            <v>JIG26-01-0060 OFFICE SUPPLY1</v>
          </cell>
          <cell r="F136" t="str">
            <v>JIG OFFICE SUPPLIES</v>
          </cell>
          <cell r="G136" t="str">
            <v>TONER</v>
          </cell>
          <cell r="H136" t="str">
            <v>55A</v>
          </cell>
          <cell r="I136" t="str">
            <v>ANY</v>
          </cell>
          <cell r="J136" t="str">
            <v>PHP</v>
          </cell>
          <cell r="K136">
            <v>2500</v>
          </cell>
          <cell r="L136" t="str">
            <v>PC</v>
          </cell>
          <cell r="M136" t="str">
            <v>Mr. Mark Agno</v>
          </cell>
          <cell r="N136" t="str">
            <v>OSE</v>
          </cell>
        </row>
        <row r="137">
          <cell r="E137" t="str">
            <v>JIG26-01-0060 OFFICE SUPPLY2</v>
          </cell>
          <cell r="F137" t="str">
            <v>JIG</v>
          </cell>
          <cell r="G137" t="str">
            <v>STAPLER</v>
          </cell>
          <cell r="H137" t="str">
            <v>-</v>
          </cell>
          <cell r="I137" t="str">
            <v>ANY</v>
          </cell>
          <cell r="J137" t="str">
            <v>PHP</v>
          </cell>
          <cell r="K137">
            <v>100</v>
          </cell>
          <cell r="L137" t="str">
            <v>PC</v>
          </cell>
          <cell r="M137" t="str">
            <v>Mr. Mark Agno</v>
          </cell>
          <cell r="N137" t="str">
            <v>OSE</v>
          </cell>
        </row>
        <row r="138">
          <cell r="E138" t="str">
            <v>JIG26-01-0061 COMMON MATERIALS1</v>
          </cell>
          <cell r="F138" t="str">
            <v>JIG</v>
          </cell>
          <cell r="G138" t="str">
            <v>END CAP</v>
          </cell>
          <cell r="H138" t="str">
            <v>30 X 30</v>
          </cell>
          <cell r="I138" t="str">
            <v>ANY</v>
          </cell>
          <cell r="J138" t="str">
            <v>$</v>
          </cell>
          <cell r="K138">
            <v>0.25</v>
          </cell>
          <cell r="L138" t="str">
            <v>PC</v>
          </cell>
          <cell r="M138" t="str">
            <v>Mr. Mark Agno</v>
          </cell>
          <cell r="N138" t="str">
            <v>Maintenance Parts &amp; Supplies</v>
          </cell>
        </row>
        <row r="139">
          <cell r="E139" t="str">
            <v>JIG26-01-0062 BASEPIN KOITO AUD1</v>
          </cell>
          <cell r="F139" t="str">
            <v>JIG</v>
          </cell>
          <cell r="G139" t="str">
            <v>BASEPIN</v>
          </cell>
          <cell r="H139" t="str">
            <v>502352-0800 WHITE</v>
          </cell>
          <cell r="I139" t="str">
            <v>MOLEX</v>
          </cell>
          <cell r="J139" t="str">
            <v>$</v>
          </cell>
          <cell r="K139">
            <v>0.45</v>
          </cell>
          <cell r="L139" t="str">
            <v>PC</v>
          </cell>
          <cell r="M139" t="str">
            <v>Ms. Jennylyn Alcantara</v>
          </cell>
          <cell r="N139" t="str">
            <v>Maintenance Parts &amp; Supplies</v>
          </cell>
        </row>
        <row r="140">
          <cell r="E140" t="str">
            <v>JIG26-01-0063 HIS TDK AOD1</v>
          </cell>
          <cell r="G140" t="str">
            <v>PANASONIC PLC (BRAND NEW)</v>
          </cell>
          <cell r="H140" t="str">
            <v>FP0-C32</v>
          </cell>
          <cell r="I140" t="str">
            <v>NESAS</v>
          </cell>
          <cell r="J140" t="str">
            <v>PHP</v>
          </cell>
          <cell r="K140">
            <v>9801</v>
          </cell>
          <cell r="L140" t="str">
            <v>PC</v>
          </cell>
          <cell r="M140" t="str">
            <v>Mr. Mark Agno</v>
          </cell>
          <cell r="N140" t="str">
            <v>Maintenance Parts &amp; Supplies</v>
          </cell>
        </row>
        <row r="141">
          <cell r="E141" t="str">
            <v>JIG26-01-0063 HIS TDK AOD2</v>
          </cell>
          <cell r="G141" t="str">
            <v xml:space="preserve">SWITCHING INDUSTRIAL POWER SUPPLY </v>
          </cell>
          <cell r="H141" t="str">
            <v>24V/2A</v>
          </cell>
          <cell r="I141" t="str">
            <v>ANY</v>
          </cell>
          <cell r="J141" t="str">
            <v>PHP</v>
          </cell>
          <cell r="K141">
            <v>425</v>
          </cell>
          <cell r="L141" t="str">
            <v>PC</v>
          </cell>
          <cell r="M141" t="str">
            <v>Mr. Mark Agno</v>
          </cell>
          <cell r="N141" t="str">
            <v>Maintenance Parts &amp; Supplies</v>
          </cell>
        </row>
        <row r="142">
          <cell r="E142" t="str">
            <v>JIG26-01-0063 HIS TDK AOD3</v>
          </cell>
          <cell r="G142" t="str">
            <v>ALEXAN BOX</v>
          </cell>
          <cell r="H142" t="str">
            <v>HC 872</v>
          </cell>
          <cell r="I142" t="str">
            <v>ANY</v>
          </cell>
          <cell r="J142" t="str">
            <v>PHP</v>
          </cell>
          <cell r="K142">
            <v>260</v>
          </cell>
          <cell r="L142" t="str">
            <v>PC</v>
          </cell>
          <cell r="M142" t="str">
            <v>Mr. Mark Agno</v>
          </cell>
          <cell r="N142" t="str">
            <v>Maintenance Parts &amp; Supplies</v>
          </cell>
        </row>
        <row r="143">
          <cell r="E143" t="str">
            <v>JIG26-01-0063 HIS TDK AOD4</v>
          </cell>
          <cell r="F143" t="str">
            <v>JIG</v>
          </cell>
          <cell r="G143" t="str">
            <v>SWITCH</v>
          </cell>
          <cell r="H143" t="str">
            <v>ON / OFF</v>
          </cell>
          <cell r="I143" t="str">
            <v>ANY</v>
          </cell>
          <cell r="J143" t="str">
            <v>PHP</v>
          </cell>
          <cell r="K143">
            <v>25</v>
          </cell>
          <cell r="L143" t="str">
            <v>PC</v>
          </cell>
          <cell r="M143" t="str">
            <v>Mr. Mark Agno</v>
          </cell>
          <cell r="N143" t="str">
            <v>Maintenance Parts &amp; Supplies</v>
          </cell>
        </row>
        <row r="144">
          <cell r="E144" t="str">
            <v>JIG26-01-0063 HIS TDK AOD5</v>
          </cell>
          <cell r="G144" t="str">
            <v>MINI BUZZER</v>
          </cell>
          <cell r="H144" t="str">
            <v>-</v>
          </cell>
          <cell r="I144" t="str">
            <v>ANY</v>
          </cell>
          <cell r="J144" t="str">
            <v>PHP</v>
          </cell>
          <cell r="K144">
            <v>55</v>
          </cell>
          <cell r="L144" t="str">
            <v>PC</v>
          </cell>
          <cell r="M144" t="str">
            <v>Mr. Mark Agno</v>
          </cell>
          <cell r="N144" t="str">
            <v>Maintenance Parts &amp; Supplies</v>
          </cell>
        </row>
        <row r="145">
          <cell r="E145" t="str">
            <v>JIG26-01-0063 HIS TDK AOD6</v>
          </cell>
          <cell r="G145" t="str">
            <v>SENSOR</v>
          </cell>
          <cell r="H145" t="str">
            <v>ESL-25N0</v>
          </cell>
          <cell r="I145" t="str">
            <v>AKUSENSE</v>
          </cell>
          <cell r="J145" t="str">
            <v>PHP</v>
          </cell>
          <cell r="K145">
            <v>1666</v>
          </cell>
          <cell r="L145" t="str">
            <v>PC</v>
          </cell>
          <cell r="M145" t="str">
            <v>Mr. Mark Agno</v>
          </cell>
          <cell r="N145" t="str">
            <v>Maintenance Parts &amp; Supplies</v>
          </cell>
        </row>
        <row r="146">
          <cell r="E146" t="str">
            <v>JIG26-01-0064 COMMON MATERIALS1</v>
          </cell>
          <cell r="F146" t="str">
            <v>JIG</v>
          </cell>
          <cell r="G146" t="str">
            <v>LINEAR GUIDE</v>
          </cell>
          <cell r="H146" t="str">
            <v>E-GMLG9-75</v>
          </cell>
          <cell r="I146" t="str">
            <v>RASO</v>
          </cell>
          <cell r="J146" t="str">
            <v>PHP</v>
          </cell>
          <cell r="K146">
            <v>540</v>
          </cell>
          <cell r="L146" t="str">
            <v>PC</v>
          </cell>
          <cell r="M146" t="str">
            <v>Mr. Mark Agno</v>
          </cell>
          <cell r="N146" t="str">
            <v>Maintenance Parts &amp; Supplies</v>
          </cell>
        </row>
        <row r="147">
          <cell r="E147" t="str">
            <v>JIG26-01-0065 COMMON MATERIALS1</v>
          </cell>
          <cell r="F147" t="str">
            <v>JIG</v>
          </cell>
          <cell r="G147" t="str">
            <v>CREALITY HYPER PLA (WHITE)</v>
          </cell>
          <cell r="H147" t="str">
            <v>FILAMENT 1.75MM</v>
          </cell>
          <cell r="I147" t="str">
            <v>ANY</v>
          </cell>
          <cell r="J147" t="str">
            <v>PHP</v>
          </cell>
          <cell r="K147">
            <v>1600</v>
          </cell>
          <cell r="L147" t="str">
            <v>PC</v>
          </cell>
          <cell r="M147" t="str">
            <v>Mr. Mark Agno</v>
          </cell>
          <cell r="N147" t="str">
            <v>Maintenance Parts &amp; Supplies</v>
          </cell>
        </row>
        <row r="148">
          <cell r="E148" t="str">
            <v>JIG26-01-0066 COMMON MATERIALS1</v>
          </cell>
          <cell r="F148" t="str">
            <v>JIG</v>
          </cell>
          <cell r="G148" t="str">
            <v xml:space="preserve">RESISTOR </v>
          </cell>
          <cell r="H148" t="str">
            <v>2K Ω</v>
          </cell>
          <cell r="I148" t="str">
            <v>ANY</v>
          </cell>
          <cell r="J148" t="str">
            <v>PHP</v>
          </cell>
          <cell r="K148">
            <v>2</v>
          </cell>
          <cell r="L148" t="str">
            <v>PC</v>
          </cell>
          <cell r="M148" t="str">
            <v>Mr. Mark Agno</v>
          </cell>
          <cell r="N148" t="str">
            <v>Maintenance Parts &amp; Supplies</v>
          </cell>
        </row>
        <row r="149">
          <cell r="E149" t="str">
            <v>JIG26-01-0066 COMMON MATERIALS2</v>
          </cell>
          <cell r="F149" t="str">
            <v>JIG</v>
          </cell>
          <cell r="G149" t="str">
            <v>HARNESS NAIL</v>
          </cell>
          <cell r="H149" t="str">
            <v>2.5 MM X 35 MM</v>
          </cell>
          <cell r="I149" t="str">
            <v>ANY</v>
          </cell>
          <cell r="J149" t="str">
            <v>PHP</v>
          </cell>
          <cell r="K149">
            <v>5.7</v>
          </cell>
          <cell r="L149" t="str">
            <v>PC</v>
          </cell>
          <cell r="M149" t="str">
            <v>Mr. Mark Agno</v>
          </cell>
          <cell r="N149" t="str">
            <v>Maintenance Parts &amp; Supplies</v>
          </cell>
        </row>
        <row r="150">
          <cell r="E150" t="str">
            <v>JIG26-01-0066 COMMON MATERIALS3</v>
          </cell>
          <cell r="F150" t="str">
            <v>JIG</v>
          </cell>
          <cell r="G150" t="str">
            <v>HARNESS NAIL</v>
          </cell>
          <cell r="H150" t="str">
            <v>2.5 MM X 55 MM</v>
          </cell>
          <cell r="I150" t="str">
            <v>ANY</v>
          </cell>
          <cell r="J150" t="str">
            <v>PHP</v>
          </cell>
          <cell r="K150">
            <v>5.7</v>
          </cell>
          <cell r="L150" t="str">
            <v>PC</v>
          </cell>
          <cell r="M150" t="str">
            <v>Mr. Mark Agno</v>
          </cell>
          <cell r="N150" t="str">
            <v>Maintenance Parts &amp; Supplies</v>
          </cell>
        </row>
        <row r="151">
          <cell r="E151" t="str">
            <v>JIG26-01-0067 FURUKAWA CID1</v>
          </cell>
          <cell r="F151" t="str">
            <v>JIG</v>
          </cell>
          <cell r="G151" t="str">
            <v>CYLINDER</v>
          </cell>
          <cell r="H151" t="str">
            <v>CY3R-15X200</v>
          </cell>
          <cell r="I151" t="str">
            <v>SHOPEE</v>
          </cell>
          <cell r="J151" t="str">
            <v>PHP</v>
          </cell>
          <cell r="K151">
            <v>2085</v>
          </cell>
          <cell r="L151" t="str">
            <v>PC</v>
          </cell>
          <cell r="M151" t="str">
            <v>Ms. Carla</v>
          </cell>
          <cell r="N151" t="str">
            <v>Maintenance Parts &amp; Supplies</v>
          </cell>
        </row>
        <row r="152">
          <cell r="E152" t="str">
            <v>JIG26-01-0067 FURUKAWA CID2</v>
          </cell>
          <cell r="F152" t="str">
            <v>JIG</v>
          </cell>
          <cell r="G152" t="str">
            <v>SOLENOID VALVE 24V</v>
          </cell>
          <cell r="H152" t="str">
            <v>SY3120-5LZD-M5</v>
          </cell>
          <cell r="I152" t="str">
            <v>ANY</v>
          </cell>
          <cell r="J152" t="str">
            <v>PHP</v>
          </cell>
          <cell r="K152">
            <v>1500</v>
          </cell>
          <cell r="L152" t="str">
            <v>PC</v>
          </cell>
          <cell r="M152" t="str">
            <v>Mr. Mark Agno</v>
          </cell>
          <cell r="N152" t="str">
            <v>Maintenance Parts &amp; Supplies</v>
          </cell>
        </row>
        <row r="153">
          <cell r="E153" t="str">
            <v>JIG26-01-0067 FURUKAWA CID3</v>
          </cell>
          <cell r="F153" t="str">
            <v>JIG</v>
          </cell>
          <cell r="G153" t="str">
            <v>STEPPER MOTOR DRIVER</v>
          </cell>
          <cell r="H153" t="str">
            <v>DM556</v>
          </cell>
          <cell r="I153" t="str">
            <v>SHOPEE</v>
          </cell>
          <cell r="J153" t="str">
            <v>PHP</v>
          </cell>
          <cell r="K153">
            <v>476</v>
          </cell>
          <cell r="L153" t="str">
            <v>PC</v>
          </cell>
          <cell r="M153" t="str">
            <v>Ms. Carla</v>
          </cell>
          <cell r="N153" t="str">
            <v>Maintenance Parts &amp; Supplies</v>
          </cell>
        </row>
        <row r="154">
          <cell r="E154" t="str">
            <v>JIG26-01-0068 PORTABLE GRINDER JIG-PG-0011</v>
          </cell>
          <cell r="F154" t="str">
            <v>JIG</v>
          </cell>
          <cell r="G154" t="str">
            <v>TAILIN SUPER THIN CUTTING DISC</v>
          </cell>
          <cell r="H154" t="str">
            <v>4" SA60T-BF</v>
          </cell>
          <cell r="I154" t="str">
            <v>LAZADA</v>
          </cell>
          <cell r="J154" t="str">
            <v>PHP</v>
          </cell>
          <cell r="K154">
            <v>150</v>
          </cell>
          <cell r="L154" t="str">
            <v>BOX</v>
          </cell>
          <cell r="M154" t="str">
            <v>Ms. Carla</v>
          </cell>
          <cell r="N154" t="str">
            <v>Maintenance Parts &amp; Supplies</v>
          </cell>
        </row>
        <row r="155">
          <cell r="E155" t="str">
            <v>JIG26-01-0068 PORTABLE GRINDER JIG-PG-0012</v>
          </cell>
          <cell r="F155" t="str">
            <v>JIG</v>
          </cell>
          <cell r="G155" t="str">
            <v>ANGLE GRINDER FLANGE</v>
          </cell>
          <cell r="H155" t="str">
            <v>5MMX30MM</v>
          </cell>
          <cell r="I155" t="str">
            <v>SHOPEE</v>
          </cell>
          <cell r="J155" t="str">
            <v>PHP</v>
          </cell>
          <cell r="K155">
            <v>52</v>
          </cell>
          <cell r="L155" t="str">
            <v>PC</v>
          </cell>
          <cell r="M155" t="str">
            <v>Ms. Carla</v>
          </cell>
          <cell r="N155" t="str">
            <v>Maintenance Parts &amp; Supplies</v>
          </cell>
        </row>
        <row r="156">
          <cell r="E156" t="str">
            <v>JIG26-01-0069 DATA SYSTEM AED1</v>
          </cell>
          <cell r="G156" t="str">
            <v>PVC (BLUE)</v>
          </cell>
          <cell r="H156" t="str">
            <v>2X10</v>
          </cell>
          <cell r="I156" t="str">
            <v>ANY</v>
          </cell>
          <cell r="J156" t="str">
            <v>PHP</v>
          </cell>
          <cell r="K156">
            <v>680</v>
          </cell>
          <cell r="L156" t="str">
            <v>PC</v>
          </cell>
          <cell r="M156" t="str">
            <v>Mr. Mark Agno</v>
          </cell>
          <cell r="N156" t="str">
            <v>Maintenance Parts &amp; Supplies</v>
          </cell>
        </row>
        <row r="157">
          <cell r="E157" t="str">
            <v>JIG26-01-0070 HICZ-KOITO1</v>
          </cell>
          <cell r="F157" t="str">
            <v>JIG</v>
          </cell>
          <cell r="G157" t="str">
            <v>LINEAR GUIDE</v>
          </cell>
          <cell r="H157" t="str">
            <v>E-GMLG9-150</v>
          </cell>
          <cell r="I157" t="str">
            <v>RASO</v>
          </cell>
          <cell r="J157" t="str">
            <v>PHP</v>
          </cell>
          <cell r="K157">
            <v>716.1</v>
          </cell>
          <cell r="L157" t="str">
            <v>PC</v>
          </cell>
          <cell r="M157" t="str">
            <v>Mr. Mark Agno</v>
          </cell>
          <cell r="N157" t="str">
            <v>Maintenance Parts &amp; Supplies</v>
          </cell>
        </row>
        <row r="158">
          <cell r="E158" t="str">
            <v>JIG26-01-0071 AKI AOD1</v>
          </cell>
          <cell r="F158" t="str">
            <v>JIG</v>
          </cell>
          <cell r="G158" t="str">
            <v>BINDER CUTTER</v>
          </cell>
          <cell r="H158" t="str">
            <v>-</v>
          </cell>
          <cell r="I158" t="str">
            <v>NESAS</v>
          </cell>
          <cell r="J158" t="str">
            <v>PHP</v>
          </cell>
          <cell r="K158">
            <v>17000</v>
          </cell>
          <cell r="L158" t="str">
            <v>PC</v>
          </cell>
          <cell r="M158" t="str">
            <v>Mr. Mark Agno</v>
          </cell>
          <cell r="N158" t="str">
            <v>Maintenance Parts &amp; Supplies</v>
          </cell>
        </row>
        <row r="159">
          <cell r="E159" t="str">
            <v>JIG26-01-0072 COMMON MATERIALS1</v>
          </cell>
          <cell r="F159" t="str">
            <v>JIG</v>
          </cell>
          <cell r="G159" t="str">
            <v>ACETAL SHEETS</v>
          </cell>
          <cell r="H159" t="str">
            <v>3MM 1FT X 1FT</v>
          </cell>
          <cell r="I159" t="str">
            <v>LAZADA</v>
          </cell>
          <cell r="J159" t="str">
            <v>PHP</v>
          </cell>
          <cell r="K159">
            <v>1070</v>
          </cell>
          <cell r="L159" t="str">
            <v>PC</v>
          </cell>
          <cell r="M159" t="str">
            <v>Ms. Carla</v>
          </cell>
          <cell r="N159" t="str">
            <v>Maintenance Parts &amp; Supplies</v>
          </cell>
        </row>
        <row r="160">
          <cell r="E160" t="str">
            <v>JIG26-01-0073 COMMON MATERIALS1</v>
          </cell>
          <cell r="F160" t="str">
            <v>JIG</v>
          </cell>
          <cell r="G160" t="str">
            <v>SOLENOID VALVE 24V</v>
          </cell>
          <cell r="H160" t="str">
            <v>SY3120-5LZD-M5</v>
          </cell>
          <cell r="I160" t="str">
            <v>ANY</v>
          </cell>
          <cell r="J160" t="str">
            <v>PHP</v>
          </cell>
          <cell r="K160">
            <v>1500</v>
          </cell>
          <cell r="L160" t="str">
            <v>PC</v>
          </cell>
          <cell r="M160" t="str">
            <v>Mr. Mark Agno</v>
          </cell>
          <cell r="N160" t="str">
            <v>Maintenance Parts &amp; Supplies</v>
          </cell>
        </row>
        <row r="161">
          <cell r="E161" t="str">
            <v>JIG26-01-0074 COMMON MATERIALS1</v>
          </cell>
          <cell r="F161" t="str">
            <v>JIG</v>
          </cell>
          <cell r="G161" t="str">
            <v>PLASTIC FIBER OPTIC</v>
          </cell>
          <cell r="H161" t="str">
            <v>50M X 0.75MM</v>
          </cell>
          <cell r="I161" t="str">
            <v>ANY</v>
          </cell>
          <cell r="J161" t="str">
            <v>PHP</v>
          </cell>
          <cell r="K161">
            <v>102.29</v>
          </cell>
          <cell r="L161" t="str">
            <v>PC</v>
          </cell>
          <cell r="M161" t="str">
            <v>Ms. Carla</v>
          </cell>
          <cell r="N161" t="str">
            <v>Maintenance Parts &amp; Supplies</v>
          </cell>
        </row>
        <row r="162">
          <cell r="E162" t="str">
            <v>JIG26-01-0075 MISWIRING TEAM1</v>
          </cell>
          <cell r="F162" t="str">
            <v>JIG</v>
          </cell>
          <cell r="G162" t="str">
            <v>BS-801 WITH OPTICAL FIBER AND LENS</v>
          </cell>
          <cell r="H162" t="str">
            <v>LASER MEASUREMENT DISPLACEMENT SENSOR</v>
          </cell>
          <cell r="I162" t="str">
            <v>GBS CO.,LTD</v>
          </cell>
          <cell r="J162" t="str">
            <v>$</v>
          </cell>
          <cell r="K162">
            <v>130</v>
          </cell>
          <cell r="L162" t="str">
            <v>PC</v>
          </cell>
          <cell r="M162" t="str">
            <v>Mr. Mark Agno</v>
          </cell>
          <cell r="N162" t="str">
            <v>Maintenance Parts &amp; Supplies</v>
          </cell>
        </row>
        <row r="163">
          <cell r="E163" t="str">
            <v>JIG26-01-0076 RYODEN AED1</v>
          </cell>
          <cell r="G163" t="str">
            <v>SENSOR</v>
          </cell>
          <cell r="H163" t="str">
            <v>ESL-25N0</v>
          </cell>
          <cell r="I163" t="str">
            <v>AKUSENSE</v>
          </cell>
          <cell r="J163" t="str">
            <v>PHP</v>
          </cell>
          <cell r="K163">
            <v>1666</v>
          </cell>
          <cell r="L163" t="str">
            <v>PC</v>
          </cell>
          <cell r="M163" t="str">
            <v>Mr. Mark Agno</v>
          </cell>
          <cell r="N163" t="str">
            <v>Maintenance Parts &amp; Supplies</v>
          </cell>
        </row>
        <row r="164">
          <cell r="E164" t="str">
            <v>JIG26-01-0076 RYODEN AED2</v>
          </cell>
          <cell r="G164" t="str">
            <v xml:space="preserve">VT3-KEYENCE TOUCH PANEL </v>
          </cell>
          <cell r="H164" t="str">
            <v>REPURBISHED</v>
          </cell>
          <cell r="I164" t="str">
            <v>NESAS</v>
          </cell>
          <cell r="J164" t="str">
            <v>PHP</v>
          </cell>
          <cell r="K164">
            <v>6300</v>
          </cell>
          <cell r="L164" t="str">
            <v>PC</v>
          </cell>
          <cell r="M164" t="str">
            <v>Mr. Mark Agno</v>
          </cell>
          <cell r="N164" t="str">
            <v>Maintenance Parts &amp; Supplies</v>
          </cell>
        </row>
        <row r="165">
          <cell r="E165" t="str">
            <v>JIG26-01-0076 SEMITEC AED GE-A18011A1</v>
          </cell>
          <cell r="F165" t="str">
            <v>JIG</v>
          </cell>
          <cell r="G165" t="str">
            <v>AMPLIFIER WITH FIBER OPTIC</v>
          </cell>
          <cell r="H165" t="str">
            <v>PC1-NH</v>
          </cell>
          <cell r="I165" t="str">
            <v>AKUSENSE</v>
          </cell>
          <cell r="J165" t="str">
            <v>PHP</v>
          </cell>
          <cell r="K165">
            <v>3539.25</v>
          </cell>
          <cell r="L165" t="str">
            <v>PC</v>
          </cell>
          <cell r="M165" t="str">
            <v>Mr. Mark Agno</v>
          </cell>
          <cell r="N165" t="str">
            <v>Maintenance Parts &amp; Supplies</v>
          </cell>
        </row>
        <row r="166">
          <cell r="E166" t="str">
            <v>JIG26-01-0076 SEMITEC AED GE-A18011A2</v>
          </cell>
          <cell r="F166" t="str">
            <v>JIG</v>
          </cell>
          <cell r="G166" t="str">
            <v>TIMER</v>
          </cell>
          <cell r="H166" t="str">
            <v>H3Y 110V/5 SEC. (ALTERNATIVE)</v>
          </cell>
          <cell r="I166" t="str">
            <v>VLCR</v>
          </cell>
          <cell r="J166" t="str">
            <v>PHP</v>
          </cell>
          <cell r="K166">
            <v>550</v>
          </cell>
          <cell r="L166" t="str">
            <v>SET</v>
          </cell>
          <cell r="M166" t="str">
            <v>Mr. Mark Agno</v>
          </cell>
          <cell r="N166" t="str">
            <v>Maintenance Parts &amp; Supplies</v>
          </cell>
        </row>
        <row r="167">
          <cell r="E167" t="str">
            <v>JIG26-01-0077 SEMITEC 8 AED1</v>
          </cell>
          <cell r="G167" t="str">
            <v>ALL IN MODIFICATION</v>
          </cell>
          <cell r="H167" t="str">
            <v>SEMITEC AUTO EJECTOR</v>
          </cell>
          <cell r="I167" t="str">
            <v>NESAS</v>
          </cell>
          <cell r="J167" t="str">
            <v>PHP</v>
          </cell>
          <cell r="K167">
            <v>78210</v>
          </cell>
          <cell r="L167" t="str">
            <v>PC</v>
          </cell>
          <cell r="M167" t="str">
            <v>Mr. Mark Agno</v>
          </cell>
          <cell r="N167" t="str">
            <v>Maintenance Parts &amp; Supplies</v>
          </cell>
        </row>
        <row r="168">
          <cell r="E168" t="str">
            <v>JIG26-01-0078 BASEPIN1</v>
          </cell>
          <cell r="F168" t="str">
            <v>JIG</v>
          </cell>
          <cell r="G168" t="str">
            <v>BASEPIN</v>
          </cell>
          <cell r="H168" t="str">
            <v>7283-7080-40 LIGHT GRAY</v>
          </cell>
          <cell r="I168" t="str">
            <v>YAZAKI</v>
          </cell>
          <cell r="J168" t="str">
            <v>¥</v>
          </cell>
          <cell r="K168">
            <v>67.8</v>
          </cell>
          <cell r="L168" t="str">
            <v>PC</v>
          </cell>
          <cell r="M168" t="str">
            <v>Ms. Lina Ramos</v>
          </cell>
          <cell r="N168" t="str">
            <v>Maintenance Parts &amp; Supplies</v>
          </cell>
        </row>
        <row r="169">
          <cell r="E169" t="str">
            <v>JIG26-01-0078 BASEPIN2</v>
          </cell>
          <cell r="F169" t="str">
            <v>JIG</v>
          </cell>
          <cell r="G169" t="str">
            <v>BASEPIN</v>
          </cell>
          <cell r="H169" t="str">
            <v>V0015-008E-002 BLACK</v>
          </cell>
          <cell r="I169" t="str">
            <v>DAI-ICHI SEIKO</v>
          </cell>
          <cell r="J169" t="str">
            <v>¥</v>
          </cell>
          <cell r="K169">
            <v>111.5</v>
          </cell>
          <cell r="L169" t="str">
            <v>PC</v>
          </cell>
          <cell r="M169" t="str">
            <v>Ms. Lina Ramos</v>
          </cell>
          <cell r="N169" t="str">
            <v>Maintenance Parts &amp; Supplies</v>
          </cell>
        </row>
        <row r="170">
          <cell r="E170" t="str">
            <v>JIG26-01-0079 COMMON MATERIALS1</v>
          </cell>
          <cell r="F170" t="str">
            <v>JIG</v>
          </cell>
          <cell r="G170" t="str">
            <v>ACETAL SHEETS</v>
          </cell>
          <cell r="H170" t="str">
            <v>6MM 1FT X 1FT</v>
          </cell>
          <cell r="I170" t="str">
            <v>ANY</v>
          </cell>
          <cell r="J170" t="str">
            <v>PHP</v>
          </cell>
          <cell r="K170">
            <v>1040</v>
          </cell>
          <cell r="L170" t="str">
            <v>PC</v>
          </cell>
          <cell r="M170" t="str">
            <v>Mr. Mark Agno</v>
          </cell>
          <cell r="N170" t="str">
            <v>Maintenance Parts &amp; Supplies</v>
          </cell>
        </row>
        <row r="171">
          <cell r="E171" t="str">
            <v>JIG26-01-0079 COMMON MATERIALS2</v>
          </cell>
          <cell r="F171" t="str">
            <v>JIG</v>
          </cell>
          <cell r="G171" t="str">
            <v>ACETAL SHEETS</v>
          </cell>
          <cell r="H171" t="str">
            <v>10MM 1FT X 1FT</v>
          </cell>
          <cell r="I171" t="str">
            <v>ANY</v>
          </cell>
          <cell r="J171" t="str">
            <v>PHP</v>
          </cell>
          <cell r="K171">
            <v>1268</v>
          </cell>
          <cell r="L171" t="str">
            <v>PC</v>
          </cell>
          <cell r="M171" t="str">
            <v>Mr. Mark Agno</v>
          </cell>
          <cell r="N171" t="str">
            <v>Maintenance Parts &amp; Supplies</v>
          </cell>
        </row>
        <row r="172">
          <cell r="E172" t="str">
            <v>JIG26-01-0080 OFFICE SUPPLIES1</v>
          </cell>
          <cell r="F172" t="str">
            <v>JIG OFFICE SUPPLIES</v>
          </cell>
          <cell r="G172" t="str">
            <v>NEWS PRINT</v>
          </cell>
          <cell r="H172" t="str">
            <v>A4</v>
          </cell>
          <cell r="I172" t="str">
            <v>ANY</v>
          </cell>
          <cell r="J172" t="str">
            <v>PHP</v>
          </cell>
          <cell r="K172">
            <v>135</v>
          </cell>
          <cell r="L172" t="str">
            <v>REAM</v>
          </cell>
          <cell r="M172" t="str">
            <v>Mr. Mark Agno</v>
          </cell>
          <cell r="N172" t="str">
            <v>OSE</v>
          </cell>
        </row>
        <row r="173">
          <cell r="E173" t="str">
            <v>JIG26-01-0081 COMMON MATERIALS1</v>
          </cell>
          <cell r="G173" t="str">
            <v>PROXIMITY SWITCH METAL DETECTION SENSOR</v>
          </cell>
          <cell r="H173" t="str">
            <v>SN04-N</v>
          </cell>
          <cell r="I173" t="str">
            <v>ANY</v>
          </cell>
          <cell r="J173" t="str">
            <v>PHP</v>
          </cell>
          <cell r="K173">
            <v>97.6</v>
          </cell>
          <cell r="L173" t="str">
            <v>PC</v>
          </cell>
          <cell r="M173" t="str">
            <v>Mr. Mark Agno</v>
          </cell>
          <cell r="N173" t="str">
            <v>Maintenance Parts &amp; Supplies</v>
          </cell>
        </row>
        <row r="174">
          <cell r="E174" t="str">
            <v>JIG26-01-0082 COMMON MATERIALS1</v>
          </cell>
          <cell r="F174" t="str">
            <v>JIG</v>
          </cell>
          <cell r="G174" t="str">
            <v>TIMER</v>
          </cell>
          <cell r="H174" t="str">
            <v>H3Y 110V/5 SEC. (ALTERNATIVE)</v>
          </cell>
          <cell r="I174" t="str">
            <v>VLCR</v>
          </cell>
          <cell r="J174" t="str">
            <v>PHP</v>
          </cell>
          <cell r="K174">
            <v>550</v>
          </cell>
          <cell r="L174" t="str">
            <v>SET</v>
          </cell>
          <cell r="M174" t="str">
            <v>Mr. Mark Agno</v>
          </cell>
          <cell r="N174" t="str">
            <v>Maintenance Parts &amp; Supplies</v>
          </cell>
        </row>
        <row r="175">
          <cell r="E175" t="str">
            <v>JIG26-01-0083 MACHINE1</v>
          </cell>
          <cell r="F175" t="str">
            <v>JIG</v>
          </cell>
          <cell r="G175" t="str">
            <v>PVC BLUE</v>
          </cell>
          <cell r="H175" t="str">
            <v xml:space="preserve">3X10 </v>
          </cell>
          <cell r="I175" t="str">
            <v>ANY</v>
          </cell>
          <cell r="J175" t="str">
            <v>PHP</v>
          </cell>
          <cell r="K175">
            <v>1250</v>
          </cell>
          <cell r="L175" t="str">
            <v>PC</v>
          </cell>
          <cell r="M175" t="str">
            <v>Mr. Mark Agno</v>
          </cell>
          <cell r="N175" t="str">
            <v>Maintenance Parts &amp; Supplies</v>
          </cell>
        </row>
        <row r="176">
          <cell r="E176" t="str">
            <v>JIG26-01-0084 AKI AOD1</v>
          </cell>
          <cell r="F176" t="str">
            <v>JIG</v>
          </cell>
          <cell r="G176" t="str">
            <v>BINDER CUTTER</v>
          </cell>
          <cell r="H176" t="str">
            <v>-</v>
          </cell>
          <cell r="I176" t="str">
            <v>NESAS</v>
          </cell>
          <cell r="J176" t="str">
            <v>PHP</v>
          </cell>
          <cell r="K176">
            <v>17000</v>
          </cell>
          <cell r="L176" t="str">
            <v>PC</v>
          </cell>
          <cell r="M176" t="str">
            <v>Mr. Mark Agno</v>
          </cell>
          <cell r="N176" t="str">
            <v>Maintenance Parts &amp; Supplies</v>
          </cell>
        </row>
        <row r="177">
          <cell r="E177" t="str">
            <v>JIG26-01-0085 SEMITEC AED1</v>
          </cell>
          <cell r="F177" t="str">
            <v>JIG</v>
          </cell>
          <cell r="G177" t="str">
            <v>BINDER CUTTER</v>
          </cell>
          <cell r="H177" t="str">
            <v>-</v>
          </cell>
          <cell r="I177" t="str">
            <v>NESAS</v>
          </cell>
          <cell r="J177" t="str">
            <v>PHP</v>
          </cell>
          <cell r="K177">
            <v>17000</v>
          </cell>
          <cell r="L177" t="str">
            <v>PC</v>
          </cell>
          <cell r="M177" t="str">
            <v>Mr. Mark Agno</v>
          </cell>
          <cell r="N177" t="str">
            <v>Maintenance Parts &amp; Supplies</v>
          </cell>
        </row>
        <row r="178">
          <cell r="E178" t="str">
            <v>JIG26-01-0086 PACKING AREA IMPROVEMENT1</v>
          </cell>
          <cell r="G178" t="str">
            <v>ALUMINUM PROFILE EXTRUSION ANODIZED</v>
          </cell>
          <cell r="H178" t="str">
            <v>2020 V-SLOT BLACK - 800MM</v>
          </cell>
          <cell r="I178" t="str">
            <v>SHOPEE</v>
          </cell>
          <cell r="J178" t="str">
            <v>PHP</v>
          </cell>
          <cell r="K178">
            <v>450</v>
          </cell>
          <cell r="L178" t="str">
            <v>PC</v>
          </cell>
          <cell r="M178" t="str">
            <v>Ms. Carla</v>
          </cell>
          <cell r="N178" t="str">
            <v>Maintenance Parts &amp; Supplies</v>
          </cell>
        </row>
        <row r="179">
          <cell r="E179" t="str">
            <v>JIG26-01-0086 PACKING AREA IMPROVEMENT2</v>
          </cell>
          <cell r="F179" t="str">
            <v>JIG</v>
          </cell>
          <cell r="G179" t="str">
            <v>CUTTING MAT PVC CUT PAD</v>
          </cell>
          <cell r="H179" t="str">
            <v>A3 D-GREEN</v>
          </cell>
          <cell r="I179" t="str">
            <v>LAZADA</v>
          </cell>
          <cell r="J179" t="str">
            <v>PHP</v>
          </cell>
          <cell r="K179">
            <v>138</v>
          </cell>
          <cell r="L179" t="str">
            <v>PC</v>
          </cell>
          <cell r="M179" t="str">
            <v>Ms. Carla</v>
          </cell>
          <cell r="N179" t="str">
            <v>Maintenance Parts &amp; Supplies</v>
          </cell>
        </row>
        <row r="180">
          <cell r="E180" t="str">
            <v>JIG26-01-0086 PACKING AREA IMPROVEMENT3</v>
          </cell>
          <cell r="F180" t="str">
            <v>JIG</v>
          </cell>
          <cell r="G180" t="str">
            <v>ROTARY CUTTER SPARE BLADES</v>
          </cell>
          <cell r="H180" t="str">
            <v>45MM</v>
          </cell>
          <cell r="I180" t="str">
            <v>LAZADA</v>
          </cell>
          <cell r="J180" t="str">
            <v>PHP</v>
          </cell>
          <cell r="K180">
            <v>1250</v>
          </cell>
          <cell r="L180" t="str">
            <v>SET</v>
          </cell>
          <cell r="M180" t="str">
            <v>Ms. Carla</v>
          </cell>
          <cell r="N180" t="str">
            <v>Maintenance Parts &amp; Supplies</v>
          </cell>
        </row>
        <row r="181">
          <cell r="E181" t="str">
            <v>JIG26-01-0087 COMMON MATERIALS1</v>
          </cell>
          <cell r="F181" t="str">
            <v>JIG</v>
          </cell>
          <cell r="G181" t="str">
            <v>TIMER</v>
          </cell>
          <cell r="H181" t="str">
            <v>H3Y 12V/5 SEC. (ALTERNATIVE)</v>
          </cell>
          <cell r="I181" t="str">
            <v>VLCR</v>
          </cell>
          <cell r="J181" t="str">
            <v>PHP</v>
          </cell>
          <cell r="K181">
            <v>550</v>
          </cell>
          <cell r="L181" t="str">
            <v>SET</v>
          </cell>
          <cell r="M181" t="str">
            <v>Mr. Mark Agno</v>
          </cell>
          <cell r="N181" t="str">
            <v>Maintenance Parts &amp; Supplies</v>
          </cell>
        </row>
        <row r="182">
          <cell r="E182" t="str">
            <v>JIG26-01-0089 COMMON MATERIALS1</v>
          </cell>
          <cell r="F182" t="str">
            <v>JIG</v>
          </cell>
          <cell r="G182" t="str">
            <v>AIRHOSE END CUP</v>
          </cell>
          <cell r="H182" t="str">
            <v>PPF6 WHITE</v>
          </cell>
          <cell r="I182" t="str">
            <v>SHOPEE</v>
          </cell>
          <cell r="J182" t="str">
            <v>PHP</v>
          </cell>
          <cell r="K182">
            <v>30</v>
          </cell>
          <cell r="L182" t="str">
            <v>PC</v>
          </cell>
          <cell r="M182" t="str">
            <v>Mr. Mark Agno</v>
          </cell>
          <cell r="N182" t="str">
            <v>Maintenance Parts &amp; Supplies</v>
          </cell>
        </row>
        <row r="183">
          <cell r="E183" t="str">
            <v>JIG26-01-0088 COMMON MATERIALS1</v>
          </cell>
          <cell r="F183" t="str">
            <v>JIG</v>
          </cell>
          <cell r="G183" t="str">
            <v xml:space="preserve"> BOLTS AND NUTS FLATHEAD</v>
          </cell>
          <cell r="H183" t="str">
            <v>M3X20MM</v>
          </cell>
          <cell r="I183" t="str">
            <v>ANY</v>
          </cell>
          <cell r="J183" t="str">
            <v>PHP</v>
          </cell>
          <cell r="K183">
            <v>3.2</v>
          </cell>
          <cell r="L183" t="str">
            <v>PC</v>
          </cell>
          <cell r="M183" t="str">
            <v>Mr. Mark Agno</v>
          </cell>
          <cell r="N183" t="str">
            <v>Maintenance Parts &amp; Supplies</v>
          </cell>
        </row>
        <row r="184">
          <cell r="E184" t="str">
            <v>JIG26-01-0088 COMMON MATERIALS2</v>
          </cell>
          <cell r="F184" t="str">
            <v>JIG</v>
          </cell>
          <cell r="G184" t="str">
            <v>STAINLESS ALLEN BOLTS AND NUTS WITH WASHER</v>
          </cell>
          <cell r="H184" t="str">
            <v>M4X12MM</v>
          </cell>
          <cell r="I184" t="str">
            <v>ANY</v>
          </cell>
          <cell r="J184" t="str">
            <v>PHP</v>
          </cell>
          <cell r="K184">
            <v>5.85</v>
          </cell>
          <cell r="L184" t="str">
            <v>PC</v>
          </cell>
          <cell r="M184" t="str">
            <v>Mr. Mark Agno</v>
          </cell>
          <cell r="N184" t="str">
            <v>Maintenance Parts &amp; Supplies</v>
          </cell>
        </row>
        <row r="185">
          <cell r="E185" t="str">
            <v>JIG26-01-0088 COMMON MATERIALS3</v>
          </cell>
          <cell r="F185" t="str">
            <v>JIG</v>
          </cell>
          <cell r="G185" t="str">
            <v>STAINLESS ALLEN BOLTS AND NUTS WITH WASHER</v>
          </cell>
          <cell r="H185" t="str">
            <v>M5X12MM</v>
          </cell>
          <cell r="I185" t="str">
            <v>ANY</v>
          </cell>
          <cell r="J185" t="str">
            <v>PHP</v>
          </cell>
          <cell r="K185">
            <v>5.65</v>
          </cell>
          <cell r="L185" t="str">
            <v>PC</v>
          </cell>
          <cell r="M185" t="str">
            <v>Mr. Mark Agno</v>
          </cell>
          <cell r="N185" t="str">
            <v>Maintenance Parts &amp; Supplies</v>
          </cell>
        </row>
        <row r="186">
          <cell r="E186" t="str">
            <v>JIG26-01-0088 COMMON MATERIALS4</v>
          </cell>
          <cell r="F186" t="str">
            <v>JIG</v>
          </cell>
          <cell r="G186" t="str">
            <v>STAINLESS ALLEN BOLTS AND NUTS WITH WASHER</v>
          </cell>
          <cell r="H186" t="str">
            <v>M5X16MM</v>
          </cell>
          <cell r="I186" t="str">
            <v>ANY</v>
          </cell>
          <cell r="J186" t="str">
            <v>PHP</v>
          </cell>
          <cell r="K186">
            <v>5.85</v>
          </cell>
          <cell r="L186" t="str">
            <v>PC</v>
          </cell>
          <cell r="M186" t="str">
            <v>Mr. Mark Agno</v>
          </cell>
          <cell r="N186" t="str">
            <v>Maintenance Parts &amp; Supplies</v>
          </cell>
        </row>
        <row r="187">
          <cell r="E187" t="str">
            <v>JIG26-01-0090 COMMON MATERIALS1</v>
          </cell>
          <cell r="F187" t="str">
            <v>JIG</v>
          </cell>
          <cell r="G187" t="str">
            <v>METAL STAND (STAINLESS)</v>
          </cell>
          <cell r="H187" t="str">
            <v>100 MM</v>
          </cell>
          <cell r="I187" t="str">
            <v>ANY</v>
          </cell>
          <cell r="J187" t="str">
            <v>PHP</v>
          </cell>
          <cell r="K187">
            <v>250</v>
          </cell>
          <cell r="L187" t="str">
            <v>PC</v>
          </cell>
          <cell r="M187" t="str">
            <v>Mr. Mark Agno</v>
          </cell>
          <cell r="N187" t="str">
            <v>Maintenance Parts &amp; Supplies</v>
          </cell>
        </row>
        <row r="188">
          <cell r="E188" t="str">
            <v>JIG26-01-0091 COMMON MATERIALS1</v>
          </cell>
          <cell r="F188" t="str">
            <v>JIG</v>
          </cell>
          <cell r="G188" t="str">
            <v>PNEUMATIC AIR HOSE</v>
          </cell>
          <cell r="H188" t="str">
            <v>4MM 100M</v>
          </cell>
          <cell r="I188" t="str">
            <v>MINDMAN</v>
          </cell>
          <cell r="J188" t="str">
            <v>PHP</v>
          </cell>
          <cell r="K188">
            <v>2500</v>
          </cell>
          <cell r="L188" t="str">
            <v>ROLL</v>
          </cell>
          <cell r="M188" t="str">
            <v>Mr. Mark Agno</v>
          </cell>
          <cell r="N188" t="str">
            <v>Maintenance Parts &amp; Supplies</v>
          </cell>
        </row>
        <row r="189">
          <cell r="E189" t="str">
            <v>JIG26-01-0092 COMMON MATERIALS1</v>
          </cell>
          <cell r="F189" t="str">
            <v>JIG</v>
          </cell>
          <cell r="G189" t="str">
            <v>OMRON SWITCH</v>
          </cell>
          <cell r="H189" t="str">
            <v>SS-01GL</v>
          </cell>
          <cell r="I189" t="str">
            <v>ANY</v>
          </cell>
          <cell r="J189" t="str">
            <v>PHP</v>
          </cell>
          <cell r="K189">
            <v>36.1</v>
          </cell>
          <cell r="L189" t="str">
            <v>PC</v>
          </cell>
          <cell r="M189" t="str">
            <v>Mr. Mark Agno</v>
          </cell>
          <cell r="N189" t="str">
            <v>Maintenance Parts &amp; Supplies</v>
          </cell>
        </row>
        <row r="190">
          <cell r="E190" t="str">
            <v>JIG26-01-0092 COMMON MATERIALS2</v>
          </cell>
          <cell r="F190" t="str">
            <v>JIG</v>
          </cell>
          <cell r="G190" t="str">
            <v>CAPACITOR</v>
          </cell>
          <cell r="H190">
            <v>104</v>
          </cell>
          <cell r="I190" t="str">
            <v>ANY</v>
          </cell>
          <cell r="J190" t="str">
            <v>PHP</v>
          </cell>
          <cell r="K190">
            <v>5</v>
          </cell>
          <cell r="L190" t="str">
            <v>PC</v>
          </cell>
          <cell r="M190" t="str">
            <v>Mr. Mark Agno</v>
          </cell>
          <cell r="N190" t="str">
            <v>Maintenance Parts &amp; Supplies</v>
          </cell>
        </row>
        <row r="191">
          <cell r="E191" t="str">
            <v>JIG26-01-0093 HICZ-KOITO AUD1</v>
          </cell>
          <cell r="F191" t="str">
            <v>JIG</v>
          </cell>
          <cell r="G191" t="str">
            <v>LINEAR GUIDE</v>
          </cell>
          <cell r="H191" t="str">
            <v>E-GMLG9-75</v>
          </cell>
          <cell r="I191" t="str">
            <v>RASO</v>
          </cell>
          <cell r="J191" t="str">
            <v>PHP</v>
          </cell>
          <cell r="K191">
            <v>540</v>
          </cell>
          <cell r="L191" t="str">
            <v>PC</v>
          </cell>
          <cell r="M191" t="str">
            <v>Mr. Mark Agno</v>
          </cell>
          <cell r="N191" t="str">
            <v>Maintenance Parts &amp; Supplies</v>
          </cell>
        </row>
        <row r="192">
          <cell r="E192" t="str">
            <v>JIG26-01-0094 HICZ-KOITO AUD1</v>
          </cell>
          <cell r="F192" t="str">
            <v>JIG</v>
          </cell>
          <cell r="G192" t="str">
            <v>LINEAR GUIDE</v>
          </cell>
          <cell r="H192" t="str">
            <v>E-GMLG9-75</v>
          </cell>
          <cell r="I192" t="str">
            <v>RASO</v>
          </cell>
          <cell r="J192" t="str">
            <v>PHP</v>
          </cell>
          <cell r="K192">
            <v>540</v>
          </cell>
          <cell r="L192" t="str">
            <v>PC</v>
          </cell>
          <cell r="M192" t="str">
            <v>Mr. Mark Agno</v>
          </cell>
          <cell r="N192" t="str">
            <v>Maintenance Parts &amp; Supplies</v>
          </cell>
        </row>
        <row r="193">
          <cell r="E193" t="str">
            <v>JIG26-01-0095 HICZ-KOITO AUD1</v>
          </cell>
          <cell r="F193" t="str">
            <v>JIG</v>
          </cell>
          <cell r="G193" t="str">
            <v>LINEAR GUIDE</v>
          </cell>
          <cell r="H193" t="str">
            <v>E-GMLG9-75</v>
          </cell>
          <cell r="I193" t="str">
            <v>RASO</v>
          </cell>
          <cell r="J193" t="str">
            <v>PHP</v>
          </cell>
          <cell r="K193">
            <v>540</v>
          </cell>
          <cell r="L193" t="str">
            <v>PC</v>
          </cell>
          <cell r="M193" t="str">
            <v>Mr. Mark Agno</v>
          </cell>
          <cell r="N193" t="str">
            <v>Maintenance Parts &amp; Supplies</v>
          </cell>
        </row>
        <row r="194">
          <cell r="E194" t="str">
            <v>JIG26-01-0096 COMMON MATERIALS1</v>
          </cell>
          <cell r="F194" t="str">
            <v>JIG</v>
          </cell>
          <cell r="G194" t="str">
            <v>LINEAR GUIDE</v>
          </cell>
          <cell r="H194" t="str">
            <v>E-GMLG9-75</v>
          </cell>
          <cell r="I194" t="str">
            <v>RASO</v>
          </cell>
          <cell r="J194" t="str">
            <v>PHP</v>
          </cell>
          <cell r="K194">
            <v>540</v>
          </cell>
          <cell r="L194" t="str">
            <v>PC</v>
          </cell>
          <cell r="M194" t="str">
            <v>Mr. Mark Agno</v>
          </cell>
          <cell r="N194" t="str">
            <v>Maintenance Parts &amp; Supplies</v>
          </cell>
        </row>
        <row r="195">
          <cell r="E195" t="str">
            <v>JIG26-01-0097 COMMON MATERIALS1</v>
          </cell>
          <cell r="F195" t="str">
            <v>JIG</v>
          </cell>
          <cell r="G195" t="str">
            <v>TOGGLE CLAMP</v>
          </cell>
          <cell r="H195" t="str">
            <v>HV-150</v>
          </cell>
          <cell r="I195" t="str">
            <v>VLCR</v>
          </cell>
          <cell r="J195" t="str">
            <v>PHP</v>
          </cell>
          <cell r="K195">
            <v>790</v>
          </cell>
          <cell r="L195" t="str">
            <v>PC</v>
          </cell>
          <cell r="M195" t="str">
            <v>Mr. Mark Agno</v>
          </cell>
          <cell r="N195" t="str">
            <v>Maintenance Parts &amp; Supplies</v>
          </cell>
        </row>
        <row r="196">
          <cell r="E196" t="str">
            <v>JIG26-01-0098 COMMON MATERIALS1</v>
          </cell>
          <cell r="F196" t="str">
            <v>JIG</v>
          </cell>
          <cell r="G196" t="str">
            <v xml:space="preserve">BEARING </v>
          </cell>
          <cell r="H196" t="str">
            <v>M5</v>
          </cell>
          <cell r="I196" t="str">
            <v>ANY</v>
          </cell>
          <cell r="J196" t="str">
            <v>PHP</v>
          </cell>
          <cell r="K196">
            <v>53.35</v>
          </cell>
          <cell r="L196" t="str">
            <v>PC</v>
          </cell>
          <cell r="M196" t="str">
            <v>Mr. Mark Agno</v>
          </cell>
          <cell r="N196" t="str">
            <v>Maintenance Parts &amp; Supplies</v>
          </cell>
        </row>
        <row r="197">
          <cell r="E197" t="str">
            <v>JIG26-01-0099 SEMITEC AED GE-18011A 1</v>
          </cell>
          <cell r="F197" t="str">
            <v>JIG</v>
          </cell>
          <cell r="G197" t="str">
            <v>AMPLIFIER WITH FIBER OPTIC</v>
          </cell>
          <cell r="H197" t="str">
            <v>PC1-NH</v>
          </cell>
          <cell r="I197" t="str">
            <v>AKUSENSE</v>
          </cell>
          <cell r="J197" t="str">
            <v>PHP</v>
          </cell>
          <cell r="K197">
            <v>3539.25</v>
          </cell>
          <cell r="L197" t="str">
            <v>PC</v>
          </cell>
          <cell r="M197" t="str">
            <v>Mr. Mark Agno</v>
          </cell>
          <cell r="N197" t="str">
            <v>Maintenance Parts &amp; Supplies</v>
          </cell>
        </row>
        <row r="198">
          <cell r="E198" t="str">
            <v>JIG26-01-0099 SEMITEC AED GE-18011A 2</v>
          </cell>
          <cell r="F198" t="str">
            <v>JIG</v>
          </cell>
          <cell r="G198" t="str">
            <v>TIMER</v>
          </cell>
          <cell r="H198" t="str">
            <v>H3Y 110V/5 SEC. (ALTERNATIVE)</v>
          </cell>
          <cell r="I198" t="str">
            <v>VLCR</v>
          </cell>
          <cell r="J198" t="str">
            <v>PHP</v>
          </cell>
          <cell r="K198">
            <v>550</v>
          </cell>
          <cell r="L198" t="str">
            <v>SET</v>
          </cell>
          <cell r="M198" t="str">
            <v>Mr. Mark Agno</v>
          </cell>
          <cell r="N198" t="str">
            <v>Maintenance Parts &amp; Supplies</v>
          </cell>
        </row>
        <row r="199">
          <cell r="E199" t="str">
            <v>JIG26-01-0100 COMMON MATERIALS1</v>
          </cell>
          <cell r="F199" t="str">
            <v>JIG</v>
          </cell>
          <cell r="G199" t="str">
            <v>AIR REGULATOR</v>
          </cell>
          <cell r="H199" t="str">
            <v>AW10 M5-A</v>
          </cell>
          <cell r="I199" t="str">
            <v>ANY</v>
          </cell>
          <cell r="J199" t="str">
            <v>PHP</v>
          </cell>
          <cell r="K199">
            <v>2000</v>
          </cell>
          <cell r="L199" t="str">
            <v>PC</v>
          </cell>
          <cell r="M199" t="str">
            <v>Mr. Mark Agno</v>
          </cell>
          <cell r="N199" t="str">
            <v>Maintenance Parts &amp; Supplies</v>
          </cell>
        </row>
        <row r="200">
          <cell r="E200" t="str">
            <v>JIG26-01-0101 COMMON MATERIALS1</v>
          </cell>
          <cell r="F200" t="str">
            <v>JIG</v>
          </cell>
          <cell r="G200" t="str">
            <v>SPLITTER</v>
          </cell>
          <cell r="H200" t="str">
            <v>KQ2U06-00A</v>
          </cell>
          <cell r="I200" t="str">
            <v>ANY</v>
          </cell>
          <cell r="J200" t="str">
            <v>PHP</v>
          </cell>
          <cell r="K200">
            <v>140</v>
          </cell>
          <cell r="L200" t="str">
            <v>PC</v>
          </cell>
          <cell r="M200" t="str">
            <v>Mr. Mark Agno</v>
          </cell>
          <cell r="N200" t="str">
            <v>Maintenance Parts &amp; Supplies</v>
          </cell>
        </row>
        <row r="201">
          <cell r="E201" t="str">
            <v>JIG26-01-0102 COMMON MATERIALS1</v>
          </cell>
          <cell r="F201" t="str">
            <v>JIG</v>
          </cell>
          <cell r="G201" t="str">
            <v>ALUMINUM PROFILE</v>
          </cell>
          <cell r="H201" t="str">
            <v>DNF 30 X 30</v>
          </cell>
          <cell r="I201" t="str">
            <v>ANY</v>
          </cell>
          <cell r="J201" t="str">
            <v>$</v>
          </cell>
          <cell r="K201">
            <v>45</v>
          </cell>
          <cell r="L201" t="str">
            <v>PC</v>
          </cell>
          <cell r="M201" t="str">
            <v>Mr. Mark Agno</v>
          </cell>
          <cell r="N201" t="str">
            <v>Maintenance Parts &amp; Supplies</v>
          </cell>
        </row>
        <row r="202">
          <cell r="E202" t="str">
            <v>JIG26-02-0001 COMMON MATERIALS1</v>
          </cell>
          <cell r="F202" t="str">
            <v>JIG</v>
          </cell>
          <cell r="G202" t="str">
            <v>STAINLESS ALLEN BOLTS AND NUTS WITH WASHER</v>
          </cell>
          <cell r="H202" t="str">
            <v>M6 X 12MM</v>
          </cell>
          <cell r="I202" t="str">
            <v>ANY</v>
          </cell>
          <cell r="J202" t="str">
            <v>PHP</v>
          </cell>
          <cell r="K202">
            <v>5.85</v>
          </cell>
          <cell r="L202" t="str">
            <v>PC</v>
          </cell>
          <cell r="M202" t="str">
            <v>Mr. Mark Agno</v>
          </cell>
          <cell r="N202" t="str">
            <v>Maintenance Parts &amp; Supplies</v>
          </cell>
        </row>
        <row r="203">
          <cell r="E203" t="str">
            <v>JIG26-02-0001 COMMON MATERIALS2</v>
          </cell>
          <cell r="F203" t="str">
            <v>JIG</v>
          </cell>
          <cell r="G203" t="str">
            <v>STAINLESS ALLEN BOLTS AND NUTS WITH WASHER</v>
          </cell>
          <cell r="H203" t="str">
            <v>M6 X 16MM</v>
          </cell>
          <cell r="I203" t="str">
            <v>ANY</v>
          </cell>
          <cell r="J203" t="str">
            <v>PHP</v>
          </cell>
          <cell r="K203">
            <v>6.15</v>
          </cell>
          <cell r="L203" t="str">
            <v>PC</v>
          </cell>
          <cell r="M203" t="str">
            <v>Mr. Mark Agno</v>
          </cell>
          <cell r="N203" t="str">
            <v>Maintenance Parts &amp; Supplies</v>
          </cell>
        </row>
        <row r="204">
          <cell r="E204" t="str">
            <v>JIG26-02-0002 COMMON MATERIALS1</v>
          </cell>
          <cell r="F204" t="str">
            <v>JIG</v>
          </cell>
          <cell r="G204" t="str">
            <v>CORNER BRACKET</v>
          </cell>
          <cell r="H204" t="str">
            <v>TYPE L 30 X 30</v>
          </cell>
          <cell r="I204" t="str">
            <v>ANY</v>
          </cell>
          <cell r="J204" t="str">
            <v>PHP</v>
          </cell>
          <cell r="K204">
            <v>33</v>
          </cell>
          <cell r="L204" t="str">
            <v>PC</v>
          </cell>
          <cell r="M204" t="str">
            <v>Mr. Mark Agno</v>
          </cell>
          <cell r="N204" t="str">
            <v>Maintenance Parts &amp; Supplies</v>
          </cell>
        </row>
        <row r="205">
          <cell r="E205" t="str">
            <v>JIG26-02-0003 LASER MACHINE JIG-LM-0021</v>
          </cell>
          <cell r="F205" t="str">
            <v>JIG</v>
          </cell>
          <cell r="G205" t="str">
            <v>FUSE GLASS</v>
          </cell>
          <cell r="H205" t="str">
            <v>10AMP/20MM</v>
          </cell>
          <cell r="I205" t="str">
            <v>ANY</v>
          </cell>
          <cell r="J205" t="str">
            <v>PHP</v>
          </cell>
          <cell r="K205">
            <v>35</v>
          </cell>
          <cell r="L205" t="str">
            <v>PC</v>
          </cell>
          <cell r="M205" t="str">
            <v>Mr. Mark Agno</v>
          </cell>
          <cell r="N205" t="str">
            <v>Maintenance Parts &amp; Supplies</v>
          </cell>
        </row>
        <row r="206">
          <cell r="E206" t="str">
            <v>JIG26-02-0004 BANDSAW MACHINE JIG-BM-0131</v>
          </cell>
          <cell r="F206" t="str">
            <v>JIG</v>
          </cell>
          <cell r="G206" t="str">
            <v>BANDSAW BLADE</v>
          </cell>
          <cell r="H206" t="str">
            <v xml:space="preserve">1 3/8X4-6TPI X 10'31/2" </v>
          </cell>
          <cell r="I206" t="str">
            <v>ANY</v>
          </cell>
          <cell r="J206" t="str">
            <v>PHP</v>
          </cell>
          <cell r="K206">
            <v>3752</v>
          </cell>
          <cell r="L206" t="str">
            <v>PC</v>
          </cell>
          <cell r="M206" t="str">
            <v>Mr. Mark Agno</v>
          </cell>
          <cell r="N206" t="str">
            <v>Maintenance Parts &amp; Supplies</v>
          </cell>
        </row>
        <row r="207">
          <cell r="E207" t="str">
            <v>JIG26-02-0005 PROXXON JIG-PR-0011</v>
          </cell>
          <cell r="F207" t="str">
            <v>JIG</v>
          </cell>
          <cell r="G207" t="str">
            <v>DRILL BIT FOR PROXXON</v>
          </cell>
          <cell r="H207" t="str">
            <v>2.5 Ø</v>
          </cell>
          <cell r="I207" t="str">
            <v>ANY</v>
          </cell>
          <cell r="J207" t="str">
            <v>PHP</v>
          </cell>
          <cell r="K207">
            <v>80</v>
          </cell>
          <cell r="L207" t="str">
            <v>PC</v>
          </cell>
          <cell r="M207" t="str">
            <v>Mr. Mark Agno</v>
          </cell>
          <cell r="N207" t="str">
            <v>Maintenance Parts &amp; Supplies</v>
          </cell>
        </row>
        <row r="208">
          <cell r="E208" t="str">
            <v>JIG26-02-0006 COMMON MATERIALS1</v>
          </cell>
          <cell r="F208" t="str">
            <v>JIG</v>
          </cell>
          <cell r="G208" t="str">
            <v>GEAR BOX MOTOR</v>
          </cell>
          <cell r="H208" t="str">
            <v>12 VOLTS</v>
          </cell>
          <cell r="I208" t="str">
            <v>ANY</v>
          </cell>
          <cell r="J208" t="str">
            <v>PHP</v>
          </cell>
          <cell r="K208">
            <v>598</v>
          </cell>
          <cell r="L208" t="str">
            <v>PC</v>
          </cell>
          <cell r="M208" t="str">
            <v>Mr. Mark Agno</v>
          </cell>
          <cell r="N208" t="str">
            <v>Maintenance Parts &amp; Supplies</v>
          </cell>
        </row>
        <row r="209">
          <cell r="E209" t="str">
            <v>JIG26-02-0007 COMMON MATERIALS1</v>
          </cell>
          <cell r="F209" t="str">
            <v>JIG</v>
          </cell>
          <cell r="G209" t="str">
            <v>EXHAUST FAN</v>
          </cell>
          <cell r="H209" t="str">
            <v>220 VOLTS</v>
          </cell>
          <cell r="I209" t="str">
            <v>OLAES</v>
          </cell>
          <cell r="J209" t="str">
            <v>PHP</v>
          </cell>
          <cell r="K209">
            <v>270</v>
          </cell>
          <cell r="L209" t="str">
            <v>PC</v>
          </cell>
          <cell r="M209" t="str">
            <v>Mr. Mark Agno</v>
          </cell>
          <cell r="N209" t="str">
            <v>Maintenance Parts &amp; Supplies</v>
          </cell>
        </row>
        <row r="210">
          <cell r="E210" t="str">
            <v>JIG26-02-0008 COMMON MATERIALS1</v>
          </cell>
          <cell r="F210" t="str">
            <v>JIG</v>
          </cell>
          <cell r="G210" t="str">
            <v>POTENTIO METER</v>
          </cell>
          <cell r="H210" t="str">
            <v>20KΩ</v>
          </cell>
          <cell r="I210" t="str">
            <v>ANY</v>
          </cell>
          <cell r="J210" t="str">
            <v>PHP</v>
          </cell>
          <cell r="K210">
            <v>85</v>
          </cell>
          <cell r="L210" t="str">
            <v>PC</v>
          </cell>
          <cell r="M210" t="str">
            <v>Mr. Mark Agno</v>
          </cell>
          <cell r="N210" t="str">
            <v>Maintenance Parts &amp; Supplies</v>
          </cell>
        </row>
        <row r="211">
          <cell r="E211" t="str">
            <v>JIG26-02-0009 KAIZEN GROUP1</v>
          </cell>
          <cell r="F211" t="str">
            <v>JIG</v>
          </cell>
          <cell r="G211" t="str">
            <v>CIRCLIP PLIER</v>
          </cell>
          <cell r="H211" t="str">
            <v>4IN1 45°,90°,180°</v>
          </cell>
          <cell r="I211" t="str">
            <v>SHOPEE</v>
          </cell>
          <cell r="J211" t="str">
            <v>PHP</v>
          </cell>
          <cell r="K211">
            <v>125</v>
          </cell>
          <cell r="L211" t="str">
            <v>PC</v>
          </cell>
          <cell r="M211" t="str">
            <v>Ms. Carla</v>
          </cell>
          <cell r="N211" t="str">
            <v>Repair &amp; Maintenance</v>
          </cell>
        </row>
        <row r="212">
          <cell r="E212" t="str">
            <v>JIG26-02-0010 HICZ-KOITO AUD1</v>
          </cell>
          <cell r="F212" t="str">
            <v>JIG</v>
          </cell>
          <cell r="G212" t="str">
            <v>SOLENOID VALVE 24V</v>
          </cell>
          <cell r="H212" t="str">
            <v>SY3120-5LZD-M5</v>
          </cell>
          <cell r="I212" t="str">
            <v>ANY</v>
          </cell>
          <cell r="J212" t="str">
            <v>PHP</v>
          </cell>
          <cell r="K212">
            <v>1500</v>
          </cell>
          <cell r="L212" t="str">
            <v>PC</v>
          </cell>
          <cell r="M212" t="str">
            <v>Mr. Mark Agno</v>
          </cell>
          <cell r="N212" t="str">
            <v>Maintenance Parts &amp; Supplies</v>
          </cell>
        </row>
        <row r="213">
          <cell r="E213" t="str">
            <v>JIG26-02-0010 HICZ-KOITO AUD2</v>
          </cell>
          <cell r="F213" t="str">
            <v>JIG</v>
          </cell>
          <cell r="G213" t="str">
            <v>CYLINDER</v>
          </cell>
          <cell r="H213" t="str">
            <v>MXS8-30</v>
          </cell>
          <cell r="I213" t="str">
            <v>SMC</v>
          </cell>
          <cell r="J213" t="str">
            <v>PHP</v>
          </cell>
          <cell r="K213">
            <v>2335</v>
          </cell>
          <cell r="L213" t="str">
            <v>PC</v>
          </cell>
          <cell r="M213" t="str">
            <v>Mr. Mark Agno</v>
          </cell>
          <cell r="N213" t="str">
            <v>Maintenance Parts &amp; Supplies</v>
          </cell>
        </row>
        <row r="214">
          <cell r="E214" t="str">
            <v>JIG26-02-0010 HICZ-KOITO AUD3</v>
          </cell>
          <cell r="F214" t="str">
            <v>JIG</v>
          </cell>
          <cell r="G214" t="str">
            <v>FITTINGS</v>
          </cell>
          <cell r="H214" t="str">
            <v>AS1201F-M5-04A</v>
          </cell>
          <cell r="I214" t="str">
            <v>ANY</v>
          </cell>
          <cell r="J214" t="str">
            <v>PHP</v>
          </cell>
          <cell r="K214">
            <v>275</v>
          </cell>
          <cell r="L214" t="str">
            <v>PC</v>
          </cell>
          <cell r="M214" t="str">
            <v>Mr. Mark Agno</v>
          </cell>
          <cell r="N214" t="str">
            <v>Maintenance Parts &amp; Supplies</v>
          </cell>
        </row>
        <row r="215">
          <cell r="E215" t="str">
            <v>JIG26-02-0010 HICZ-KOITO AUD4</v>
          </cell>
          <cell r="F215" t="str">
            <v>JIG</v>
          </cell>
          <cell r="G215" t="str">
            <v>FITTINGS</v>
          </cell>
          <cell r="H215" t="str">
            <v>KQ2S04-M5A</v>
          </cell>
          <cell r="I215" t="str">
            <v>ANY</v>
          </cell>
          <cell r="J215" t="str">
            <v>PHP</v>
          </cell>
          <cell r="K215">
            <v>184</v>
          </cell>
          <cell r="L215" t="str">
            <v>PC</v>
          </cell>
          <cell r="M215" t="str">
            <v>Mr. Mark Agno</v>
          </cell>
          <cell r="N215" t="str">
            <v>Maintenance Parts &amp; Supplies</v>
          </cell>
        </row>
        <row r="216">
          <cell r="E216" t="str">
            <v>JIG26-02-0010 HICZ-KOITO AUD5</v>
          </cell>
          <cell r="F216" t="str">
            <v>JIG</v>
          </cell>
          <cell r="G216" t="str">
            <v>SPLITTER</v>
          </cell>
          <cell r="H216" t="str">
            <v>KQ2U04-00A</v>
          </cell>
          <cell r="I216" t="str">
            <v>ANY</v>
          </cell>
          <cell r="J216" t="str">
            <v>PHP</v>
          </cell>
          <cell r="K216">
            <v>140</v>
          </cell>
          <cell r="L216" t="str">
            <v>PC</v>
          </cell>
          <cell r="M216" t="str">
            <v>Mr. Mark Agno</v>
          </cell>
          <cell r="N216" t="str">
            <v>Maintenance Parts &amp; Supplies</v>
          </cell>
        </row>
        <row r="217">
          <cell r="E217" t="str">
            <v>JIG26-02-0010 HICZ-KOITO AUD6</v>
          </cell>
          <cell r="F217" t="str">
            <v>JIG</v>
          </cell>
          <cell r="G217" t="str">
            <v>PARACORD</v>
          </cell>
          <cell r="H217" t="str">
            <v>2MM</v>
          </cell>
          <cell r="I217" t="str">
            <v>SHOPEE</v>
          </cell>
          <cell r="J217" t="str">
            <v>PHP</v>
          </cell>
          <cell r="K217">
            <v>340</v>
          </cell>
          <cell r="L217" t="str">
            <v>PC</v>
          </cell>
          <cell r="M217" t="str">
            <v>Ms. Carla</v>
          </cell>
          <cell r="N217" t="str">
            <v>Maintenance Parts &amp; Supplies</v>
          </cell>
        </row>
        <row r="218">
          <cell r="E218" t="str">
            <v>JIG26-02-0011 HICZ-KOITO AUD1</v>
          </cell>
          <cell r="F218" t="str">
            <v>JIG</v>
          </cell>
          <cell r="G218" t="str">
            <v>SOLENOID VALVE 24V</v>
          </cell>
          <cell r="H218" t="str">
            <v>SY3120-5LZD-M5</v>
          </cell>
          <cell r="I218" t="str">
            <v>ANY</v>
          </cell>
          <cell r="J218" t="str">
            <v>PHP</v>
          </cell>
          <cell r="K218">
            <v>1500</v>
          </cell>
          <cell r="L218" t="str">
            <v>PC</v>
          </cell>
          <cell r="M218" t="str">
            <v>Mr. Mark Agno</v>
          </cell>
          <cell r="N218" t="str">
            <v>Maintenance Parts &amp; Supplies</v>
          </cell>
        </row>
        <row r="219">
          <cell r="E219" t="str">
            <v>JIG26-02-0011 HICZ-KOITO AUD2</v>
          </cell>
          <cell r="F219" t="str">
            <v>JIG</v>
          </cell>
          <cell r="G219" t="str">
            <v>CYLINDER</v>
          </cell>
          <cell r="H219" t="str">
            <v>MXS8-30</v>
          </cell>
          <cell r="I219" t="str">
            <v>SMC</v>
          </cell>
          <cell r="J219" t="str">
            <v>PHP</v>
          </cell>
          <cell r="K219">
            <v>2335</v>
          </cell>
          <cell r="L219" t="str">
            <v>PC</v>
          </cell>
          <cell r="M219" t="str">
            <v>Mr. Mark Agno</v>
          </cell>
          <cell r="N219" t="str">
            <v>Maintenance Parts &amp; Supplies</v>
          </cell>
        </row>
        <row r="220">
          <cell r="E220" t="str">
            <v>JIG26-02-0011 HICZ-KOITO AUD3</v>
          </cell>
          <cell r="F220" t="str">
            <v>JIG</v>
          </cell>
          <cell r="G220" t="str">
            <v>FITTINGS</v>
          </cell>
          <cell r="H220" t="str">
            <v>AS1201F-M5-04A</v>
          </cell>
          <cell r="I220" t="str">
            <v>ANY</v>
          </cell>
          <cell r="J220" t="str">
            <v>PHP</v>
          </cell>
          <cell r="K220">
            <v>275</v>
          </cell>
          <cell r="L220" t="str">
            <v>PC</v>
          </cell>
          <cell r="M220" t="str">
            <v>Mr. Mark Agno</v>
          </cell>
          <cell r="N220" t="str">
            <v>Maintenance Parts &amp; Supplies</v>
          </cell>
        </row>
        <row r="221">
          <cell r="E221" t="str">
            <v>JIG26-02-0011 HICZ-KOITO AUD4</v>
          </cell>
          <cell r="F221" t="str">
            <v>JIG</v>
          </cell>
          <cell r="G221" t="str">
            <v>FITTINGS</v>
          </cell>
          <cell r="H221" t="str">
            <v>KQ2S04-M5A</v>
          </cell>
          <cell r="I221" t="str">
            <v>ANY</v>
          </cell>
          <cell r="J221" t="str">
            <v>PHP</v>
          </cell>
          <cell r="K221">
            <v>184</v>
          </cell>
          <cell r="L221" t="str">
            <v>PC</v>
          </cell>
          <cell r="M221" t="str">
            <v>Mr. Mark Agno</v>
          </cell>
          <cell r="N221" t="str">
            <v>Maintenance Parts &amp; Supplies</v>
          </cell>
        </row>
        <row r="222">
          <cell r="E222" t="str">
            <v>JIG26-02-0011 HICZ-KOITO AUD5</v>
          </cell>
          <cell r="F222" t="str">
            <v>JIG</v>
          </cell>
          <cell r="G222" t="str">
            <v>SPLITTER</v>
          </cell>
          <cell r="H222" t="str">
            <v>KQ2U04-00A</v>
          </cell>
          <cell r="I222" t="str">
            <v>ANY</v>
          </cell>
          <cell r="J222" t="str">
            <v>PHP</v>
          </cell>
          <cell r="K222">
            <v>140</v>
          </cell>
          <cell r="L222" t="str">
            <v>PC</v>
          </cell>
          <cell r="M222" t="str">
            <v>Mr. Mark Agno</v>
          </cell>
          <cell r="N222" t="str">
            <v>Maintenance Parts &amp; Supplies</v>
          </cell>
        </row>
        <row r="223">
          <cell r="E223" t="str">
            <v>JIG26-02-0012 COMMON MATERIALS1</v>
          </cell>
          <cell r="F223" t="str">
            <v>JIG</v>
          </cell>
          <cell r="G223" t="str">
            <v>SPRAY PAINT</v>
          </cell>
          <cell r="H223" t="str">
            <v>BLACK</v>
          </cell>
          <cell r="I223" t="str">
            <v>ANY</v>
          </cell>
          <cell r="J223" t="str">
            <v>PHP</v>
          </cell>
          <cell r="K223">
            <v>130</v>
          </cell>
          <cell r="L223" t="str">
            <v>PC</v>
          </cell>
          <cell r="M223" t="str">
            <v>Mr. Mark Agno</v>
          </cell>
          <cell r="N223" t="str">
            <v>Maintenance Parts &amp; Supplies</v>
          </cell>
        </row>
        <row r="224">
          <cell r="E224" t="str">
            <v>JIG26-02-0013 COMMON MATERIALS1</v>
          </cell>
          <cell r="F224" t="str">
            <v>JIG</v>
          </cell>
          <cell r="G224" t="str">
            <v>PLUG</v>
          </cell>
          <cell r="H224" t="str">
            <v>110V</v>
          </cell>
          <cell r="I224" t="str">
            <v>ANY</v>
          </cell>
          <cell r="J224" t="str">
            <v>PHP</v>
          </cell>
          <cell r="K224">
            <v>35</v>
          </cell>
          <cell r="L224" t="str">
            <v>PC</v>
          </cell>
          <cell r="M224" t="str">
            <v>Mr. Mark Agno</v>
          </cell>
          <cell r="N224" t="str">
            <v>Maintenance Parts &amp; Supplies</v>
          </cell>
        </row>
        <row r="225">
          <cell r="E225" t="str">
            <v>JIG26-02-0014 COMMON MATERIALS1</v>
          </cell>
          <cell r="G225" t="str">
            <v>CYLINDER</v>
          </cell>
          <cell r="H225" t="str">
            <v>CUJB10-15DM</v>
          </cell>
          <cell r="I225" t="str">
            <v>ANY</v>
          </cell>
          <cell r="J225" t="str">
            <v>PHP</v>
          </cell>
          <cell r="K225">
            <v>1400</v>
          </cell>
          <cell r="L225" t="str">
            <v>PC</v>
          </cell>
          <cell r="M225" t="str">
            <v>Mr. Mark Agno</v>
          </cell>
          <cell r="N225" t="str">
            <v>Maintenance Parts &amp; Supplies</v>
          </cell>
        </row>
        <row r="226">
          <cell r="E226" t="str">
            <v>JIG26-02-0015 SEMITEC AED1</v>
          </cell>
          <cell r="G226" t="str">
            <v>PANASONIC PLC</v>
          </cell>
          <cell r="H226" t="str">
            <v>BRAND NEW</v>
          </cell>
          <cell r="I226" t="str">
            <v>NESAS</v>
          </cell>
          <cell r="J226" t="str">
            <v>PHP</v>
          </cell>
          <cell r="K226">
            <v>9801</v>
          </cell>
          <cell r="L226" t="str">
            <v>PC</v>
          </cell>
          <cell r="M226" t="str">
            <v>Mr. Mark Agno</v>
          </cell>
          <cell r="N226" t="str">
            <v>Maintenance Parts &amp; Supplies</v>
          </cell>
        </row>
        <row r="227">
          <cell r="E227" t="str">
            <v>JIG26-02-0015 SEMITEC AED2</v>
          </cell>
          <cell r="G227" t="str">
            <v>EXPANSION UNIT</v>
          </cell>
          <cell r="H227" t="str">
            <v>FP0R-E32</v>
          </cell>
          <cell r="I227" t="str">
            <v>ANY</v>
          </cell>
          <cell r="J227" t="str">
            <v>PHP</v>
          </cell>
          <cell r="K227">
            <v>9400</v>
          </cell>
          <cell r="L227" t="str">
            <v>PC</v>
          </cell>
          <cell r="M227" t="str">
            <v>Mr. Mark Agno</v>
          </cell>
          <cell r="N227" t="str">
            <v>Maintenance Parts &amp; Supplies</v>
          </cell>
        </row>
        <row r="228">
          <cell r="E228" t="str">
            <v>JIG26-02-0015 SEMITEC AED3</v>
          </cell>
          <cell r="G228" t="str">
            <v xml:space="preserve">SWITCHING INDUSTRIAL POWER SUPPLY </v>
          </cell>
          <cell r="H228" t="str">
            <v>24V/2A</v>
          </cell>
          <cell r="I228" t="str">
            <v>ANY</v>
          </cell>
          <cell r="J228" t="str">
            <v>PHP</v>
          </cell>
          <cell r="K228">
            <v>425</v>
          </cell>
          <cell r="L228" t="str">
            <v>PC</v>
          </cell>
          <cell r="M228" t="str">
            <v>Mr. Mark Agno</v>
          </cell>
          <cell r="N228" t="str">
            <v>Maintenance Parts &amp; Supplies</v>
          </cell>
        </row>
        <row r="229">
          <cell r="E229" t="str">
            <v>JIG26-02-0015 SEMITEC AED4</v>
          </cell>
          <cell r="F229" t="str">
            <v>JIG</v>
          </cell>
          <cell r="G229" t="str">
            <v>RELAY MODULE</v>
          </cell>
          <cell r="H229" t="str">
            <v>24V 8CHANNEL</v>
          </cell>
          <cell r="I229" t="str">
            <v>ANY</v>
          </cell>
          <cell r="J229" t="str">
            <v>PHP</v>
          </cell>
          <cell r="K229">
            <v>345.29</v>
          </cell>
          <cell r="L229" t="str">
            <v>PC</v>
          </cell>
          <cell r="M229" t="str">
            <v>Mr. Mark Agno</v>
          </cell>
          <cell r="N229" t="str">
            <v>Maintenance Parts &amp; Supplies</v>
          </cell>
        </row>
        <row r="230">
          <cell r="E230" t="str">
            <v>JIG26-02-0015 SEMITEC AED5</v>
          </cell>
          <cell r="G230" t="str">
            <v>WAY CHANNEL RELAY MODULE HIGH LOW LEVEL W/ OPTO COUPLER</v>
          </cell>
          <cell r="H230" t="str">
            <v>5V 2 CHANNEL</v>
          </cell>
          <cell r="I230" t="str">
            <v>LAZADA</v>
          </cell>
          <cell r="J230" t="str">
            <v>PHP</v>
          </cell>
          <cell r="K230">
            <v>87</v>
          </cell>
          <cell r="L230" t="str">
            <v>PC</v>
          </cell>
          <cell r="M230" t="str">
            <v>Mr. Mark Agno</v>
          </cell>
          <cell r="N230" t="str">
            <v>Maintenance Parts &amp; Supplies</v>
          </cell>
        </row>
        <row r="231">
          <cell r="E231" t="str">
            <v>JIG26-02-0015 SEMITEC AED6</v>
          </cell>
          <cell r="G231" t="str">
            <v>TRANSISTOR</v>
          </cell>
          <cell r="H231" t="str">
            <v>C1815</v>
          </cell>
          <cell r="I231" t="str">
            <v>ANY</v>
          </cell>
          <cell r="J231" t="str">
            <v>PHP</v>
          </cell>
          <cell r="K231">
            <v>19</v>
          </cell>
          <cell r="L231" t="str">
            <v>PC</v>
          </cell>
          <cell r="M231" t="str">
            <v>Mr. Mark Agno</v>
          </cell>
          <cell r="N231" t="str">
            <v>Maintenance Parts &amp; Supplies</v>
          </cell>
        </row>
        <row r="232">
          <cell r="E232" t="str">
            <v>JIG26-02-0015 SEMITEC AED7</v>
          </cell>
          <cell r="G232" t="str">
            <v xml:space="preserve">RESISTOR </v>
          </cell>
          <cell r="H232" t="str">
            <v>10K Ω</v>
          </cell>
          <cell r="I232" t="str">
            <v>ANY</v>
          </cell>
          <cell r="J232" t="str">
            <v>PHP</v>
          </cell>
          <cell r="K232">
            <v>2</v>
          </cell>
          <cell r="L232" t="str">
            <v>PC</v>
          </cell>
          <cell r="M232" t="str">
            <v>Mr. Mark Agno</v>
          </cell>
          <cell r="N232" t="str">
            <v>Maintenance Parts &amp; Supplies</v>
          </cell>
        </row>
        <row r="233">
          <cell r="E233" t="str">
            <v>JIG26-02-0015 SEMITEC AED8</v>
          </cell>
          <cell r="F233" t="str">
            <v>JIG</v>
          </cell>
          <cell r="G233" t="str">
            <v>SOLENOID VALVE 24V</v>
          </cell>
          <cell r="H233" t="str">
            <v>SY3120-5LZD-M5</v>
          </cell>
          <cell r="I233" t="str">
            <v>ANY</v>
          </cell>
          <cell r="J233" t="str">
            <v>PHP</v>
          </cell>
          <cell r="K233">
            <v>1500</v>
          </cell>
          <cell r="L233" t="str">
            <v>PC</v>
          </cell>
          <cell r="M233" t="str">
            <v>Mr. Mark Agno</v>
          </cell>
          <cell r="N233" t="str">
            <v>Maintenance Parts &amp; Supplies</v>
          </cell>
        </row>
        <row r="234">
          <cell r="E234" t="str">
            <v>JIG26-02-0015 SEMITEC AED9</v>
          </cell>
          <cell r="F234" t="str">
            <v>JIG</v>
          </cell>
          <cell r="G234" t="str">
            <v>FITTINGS</v>
          </cell>
          <cell r="H234" t="str">
            <v>KQ2S04-M5A</v>
          </cell>
          <cell r="I234" t="str">
            <v>ANY</v>
          </cell>
          <cell r="J234" t="str">
            <v>PHP</v>
          </cell>
          <cell r="K234">
            <v>184</v>
          </cell>
          <cell r="L234" t="str">
            <v>PC</v>
          </cell>
          <cell r="M234" t="str">
            <v>Mr. Mark Agno</v>
          </cell>
          <cell r="N234" t="str">
            <v>Maintenance Parts &amp; Supplies</v>
          </cell>
        </row>
        <row r="235">
          <cell r="E235" t="str">
            <v>JIG26-02-0015 SEMITEC AED10</v>
          </cell>
          <cell r="G235" t="str">
            <v>FITTINGS</v>
          </cell>
          <cell r="H235" t="str">
            <v>AS1201F-M3-04A</v>
          </cell>
          <cell r="I235" t="str">
            <v>ANY</v>
          </cell>
          <cell r="J235" t="str">
            <v>PHP</v>
          </cell>
          <cell r="K235">
            <v>275</v>
          </cell>
          <cell r="L235" t="str">
            <v>PC</v>
          </cell>
          <cell r="M235" t="str">
            <v>Mr. Mark Agno</v>
          </cell>
          <cell r="N235" t="str">
            <v>Maintenance Parts &amp; Supplies</v>
          </cell>
        </row>
        <row r="236">
          <cell r="E236" t="str">
            <v>JIG26-02-0015 SEMITEC AED11</v>
          </cell>
          <cell r="G236" t="str">
            <v>CYLINDER</v>
          </cell>
          <cell r="H236" t="str">
            <v>CUJB10-15DM</v>
          </cell>
          <cell r="I236" t="str">
            <v>ANY</v>
          </cell>
          <cell r="J236" t="str">
            <v>PHP</v>
          </cell>
          <cell r="K236">
            <v>1400</v>
          </cell>
          <cell r="L236" t="str">
            <v>PC</v>
          </cell>
          <cell r="M236" t="str">
            <v>Mr. Mark Agno</v>
          </cell>
          <cell r="N236" t="str">
            <v>Maintenance Parts &amp; Supplies</v>
          </cell>
        </row>
        <row r="237">
          <cell r="E237" t="str">
            <v>JIG26-02-0015 SEMITEC AED12</v>
          </cell>
          <cell r="G237" t="str">
            <v>SPLITTER</v>
          </cell>
          <cell r="H237" t="str">
            <v>KQ2U04-00A</v>
          </cell>
          <cell r="I237" t="str">
            <v>ANY</v>
          </cell>
          <cell r="J237" t="str">
            <v>PHP</v>
          </cell>
          <cell r="K237">
            <v>140</v>
          </cell>
          <cell r="L237" t="str">
            <v>PC</v>
          </cell>
          <cell r="M237" t="str">
            <v>Mr. Mark Agno</v>
          </cell>
          <cell r="N237" t="str">
            <v>Maintenance Parts &amp; Supplies</v>
          </cell>
        </row>
        <row r="238">
          <cell r="E238" t="str">
            <v>JIG26-02-0015 SEMITEC AED13</v>
          </cell>
          <cell r="G238" t="str">
            <v>MAGNETIC SENSOR (REED SWITCH)</v>
          </cell>
          <cell r="H238" t="str">
            <v>PS-3150</v>
          </cell>
          <cell r="I238" t="str">
            <v>NESAS</v>
          </cell>
          <cell r="J238" t="str">
            <v>PHP</v>
          </cell>
          <cell r="K238">
            <v>130</v>
          </cell>
          <cell r="L238" t="str">
            <v>PC</v>
          </cell>
          <cell r="M238" t="str">
            <v>Mr. Mark Agno</v>
          </cell>
          <cell r="N238" t="str">
            <v>Maintenance Parts &amp; Supplies</v>
          </cell>
        </row>
        <row r="239">
          <cell r="E239" t="str">
            <v>JIG26-02-0015 SEMITEC AED14</v>
          </cell>
          <cell r="G239" t="str">
            <v>MINI BUZZER</v>
          </cell>
          <cell r="H239" t="str">
            <v>-</v>
          </cell>
          <cell r="I239" t="str">
            <v>ANY</v>
          </cell>
          <cell r="J239" t="str">
            <v>PHP</v>
          </cell>
          <cell r="K239">
            <v>55</v>
          </cell>
          <cell r="L239" t="str">
            <v>PC</v>
          </cell>
          <cell r="M239" t="str">
            <v>Mr. Mark Agno</v>
          </cell>
          <cell r="N239" t="str">
            <v>Maintenance Parts &amp; Supplies</v>
          </cell>
        </row>
        <row r="240">
          <cell r="E240" t="str">
            <v>JIG26-02-0016 COMMON MATERIALS1</v>
          </cell>
          <cell r="F240" t="str">
            <v>JIG</v>
          </cell>
          <cell r="G240" t="str">
            <v xml:space="preserve">MICRO SWITCH </v>
          </cell>
          <cell r="H240" t="str">
            <v>P336-01</v>
          </cell>
          <cell r="I240" t="str">
            <v>ANY</v>
          </cell>
          <cell r="J240" t="str">
            <v>PHP</v>
          </cell>
          <cell r="K240">
            <v>25</v>
          </cell>
          <cell r="L240" t="str">
            <v>PC</v>
          </cell>
          <cell r="M240" t="str">
            <v>Mr. Mark Agno</v>
          </cell>
          <cell r="N240" t="str">
            <v>Maintenance Parts &amp; Supplies</v>
          </cell>
        </row>
        <row r="241">
          <cell r="E241" t="str">
            <v>JIG26-02-0017 COMMON MATERIALS1</v>
          </cell>
          <cell r="F241" t="str">
            <v>JIG</v>
          </cell>
          <cell r="G241" t="str">
            <v>RELAY</v>
          </cell>
          <cell r="H241" t="str">
            <v>24V/14PINS</v>
          </cell>
          <cell r="I241" t="str">
            <v>ANY</v>
          </cell>
          <cell r="J241" t="str">
            <v>PHP</v>
          </cell>
          <cell r="K241">
            <v>170</v>
          </cell>
          <cell r="L241" t="str">
            <v>PC</v>
          </cell>
          <cell r="M241" t="str">
            <v>Mr. Mark Agno</v>
          </cell>
          <cell r="N241" t="str">
            <v>Maintenance Parts &amp; Supplies</v>
          </cell>
        </row>
        <row r="242">
          <cell r="E242" t="str">
            <v>JIG26-02-0018 COMMON MATERIALS1</v>
          </cell>
          <cell r="G242" t="str">
            <v xml:space="preserve">WOOD SCREW </v>
          </cell>
          <cell r="H242" t="str">
            <v xml:space="preserve">NO. 4 1/2 </v>
          </cell>
          <cell r="I242" t="str">
            <v>ANY</v>
          </cell>
          <cell r="J242" t="str">
            <v>PHP</v>
          </cell>
          <cell r="K242">
            <v>1</v>
          </cell>
          <cell r="L242" t="str">
            <v>PC</v>
          </cell>
          <cell r="M242" t="str">
            <v>Mr. Mark Agno</v>
          </cell>
          <cell r="N242" t="str">
            <v>Maintenance Parts &amp; Supplies</v>
          </cell>
        </row>
        <row r="243">
          <cell r="E243" t="str">
            <v>JIG26-02-0018 COMMON MATERIALS2</v>
          </cell>
          <cell r="G243" t="str">
            <v xml:space="preserve">WOOD SCREW </v>
          </cell>
          <cell r="H243" t="str">
            <v>NO. 4 3/8</v>
          </cell>
          <cell r="I243" t="str">
            <v>ANY</v>
          </cell>
          <cell r="J243" t="str">
            <v>PHP</v>
          </cell>
          <cell r="K243">
            <v>1</v>
          </cell>
          <cell r="L243" t="str">
            <v>PC</v>
          </cell>
          <cell r="M243" t="str">
            <v>Mr. Mark Agno</v>
          </cell>
          <cell r="N243" t="str">
            <v>Maintenance Parts &amp; Supplies</v>
          </cell>
        </row>
        <row r="244">
          <cell r="E244" t="str">
            <v>JIG26-02-0018 COMMON MATERIALS3</v>
          </cell>
          <cell r="G244" t="str">
            <v xml:space="preserve">WOOD SCREW </v>
          </cell>
          <cell r="H244" t="str">
            <v xml:space="preserve">NO. 4 3/4 </v>
          </cell>
          <cell r="I244" t="str">
            <v>ANY</v>
          </cell>
          <cell r="J244" t="str">
            <v>PHP</v>
          </cell>
          <cell r="K244">
            <v>1.25</v>
          </cell>
          <cell r="L244" t="str">
            <v>PC</v>
          </cell>
          <cell r="M244" t="str">
            <v>Mr. Mark Agno</v>
          </cell>
          <cell r="N244" t="str">
            <v>Maintenance Parts &amp; Supplies</v>
          </cell>
        </row>
        <row r="245">
          <cell r="E245" t="str">
            <v>JIG26-02-0019 COMMON MATERIALS1</v>
          </cell>
          <cell r="G245" t="str">
            <v>STAINLESS FLAT HEAD BOLT AND NUTS</v>
          </cell>
          <cell r="H245" t="str">
            <v>M3X8MM</v>
          </cell>
          <cell r="I245" t="str">
            <v>ANY</v>
          </cell>
          <cell r="J245" t="str">
            <v>PHP</v>
          </cell>
          <cell r="K245">
            <v>2.95</v>
          </cell>
          <cell r="L245" t="str">
            <v>PC</v>
          </cell>
          <cell r="M245" t="str">
            <v>Mr. Mark Agno</v>
          </cell>
          <cell r="N245" t="str">
            <v>Maintenance Parts &amp; Supplies</v>
          </cell>
        </row>
        <row r="246">
          <cell r="E246" t="str">
            <v>JIG26-02-0019 COMMON MATERIALS2</v>
          </cell>
          <cell r="F246" t="str">
            <v>JIG</v>
          </cell>
          <cell r="G246" t="str">
            <v>STAINLESS FLAT HEAD BOLT AND NUTS</v>
          </cell>
          <cell r="H246" t="str">
            <v xml:space="preserve">M3X10MM </v>
          </cell>
          <cell r="I246" t="str">
            <v>ANY</v>
          </cell>
          <cell r="J246" t="str">
            <v>PHP</v>
          </cell>
          <cell r="K246">
            <v>2.95</v>
          </cell>
          <cell r="L246" t="str">
            <v>PC</v>
          </cell>
          <cell r="M246" t="str">
            <v>Mr. Mark Agno</v>
          </cell>
          <cell r="N246" t="str">
            <v>Maintenance Parts &amp; Supplies</v>
          </cell>
        </row>
        <row r="247">
          <cell r="E247" t="str">
            <v>JIG26-02-00201</v>
          </cell>
          <cell r="F247" t="str">
            <v>JIG</v>
          </cell>
          <cell r="G247" t="str">
            <v>SOLDERING STATION</v>
          </cell>
          <cell r="H247" t="str">
            <v>WATERRUN 937 ESD 40W</v>
          </cell>
          <cell r="J247" t="str">
            <v>PHP</v>
          </cell>
          <cell r="K247">
            <v>6200</v>
          </cell>
        </row>
        <row r="248">
          <cell r="E248" t="str">
            <v>JIG26-02-0021 AKI AOD1</v>
          </cell>
          <cell r="F248" t="str">
            <v>JIG</v>
          </cell>
          <cell r="G248" t="str">
            <v>BINDER CUTTER</v>
          </cell>
          <cell r="H248" t="str">
            <v>-</v>
          </cell>
          <cell r="I248" t="str">
            <v>NESAS</v>
          </cell>
          <cell r="J248" t="str">
            <v>PHP</v>
          </cell>
          <cell r="K248">
            <v>17000</v>
          </cell>
          <cell r="L248" t="str">
            <v>PC</v>
          </cell>
          <cell r="M248" t="str">
            <v>Mr. Mark Agno</v>
          </cell>
          <cell r="N248" t="str">
            <v>Maintenance Parts &amp; Supplies</v>
          </cell>
        </row>
        <row r="249">
          <cell r="E249" t="str">
            <v>JIG26-02-0022 AKI AOD1</v>
          </cell>
          <cell r="F249" t="str">
            <v>JIG</v>
          </cell>
          <cell r="G249" t="str">
            <v>BINDER CUTTER</v>
          </cell>
          <cell r="H249" t="str">
            <v>-</v>
          </cell>
          <cell r="I249" t="str">
            <v>NESAS</v>
          </cell>
          <cell r="J249" t="str">
            <v>PHP</v>
          </cell>
          <cell r="K249">
            <v>17000</v>
          </cell>
          <cell r="L249" t="str">
            <v>PC</v>
          </cell>
          <cell r="M249" t="str">
            <v>Mr. Mark Agno</v>
          </cell>
          <cell r="N249" t="str">
            <v>Maintenance Parts &amp; Supplies</v>
          </cell>
        </row>
        <row r="250">
          <cell r="E250" t="str">
            <v>JIG26-02-0023 AKI AOD1</v>
          </cell>
          <cell r="F250" t="str">
            <v>JIG</v>
          </cell>
          <cell r="G250" t="str">
            <v>BINDER CUTTER</v>
          </cell>
          <cell r="H250" t="str">
            <v>-</v>
          </cell>
          <cell r="I250" t="str">
            <v>NESAS</v>
          </cell>
          <cell r="J250" t="str">
            <v>PHP</v>
          </cell>
          <cell r="K250">
            <v>17000</v>
          </cell>
          <cell r="L250" t="str">
            <v>PC</v>
          </cell>
          <cell r="M250" t="str">
            <v>Mr. Mark Agno</v>
          </cell>
          <cell r="N250" t="str">
            <v>Maintenance Parts &amp; Supplies</v>
          </cell>
        </row>
        <row r="251">
          <cell r="E251" t="str">
            <v>JIG26-02-0024 AKI AOD1</v>
          </cell>
          <cell r="F251" t="str">
            <v>JIG</v>
          </cell>
          <cell r="G251" t="str">
            <v>BINDER CUTTER</v>
          </cell>
          <cell r="H251" t="str">
            <v>-</v>
          </cell>
          <cell r="I251" t="str">
            <v>NESAS</v>
          </cell>
          <cell r="J251" t="str">
            <v>PHP</v>
          </cell>
          <cell r="K251">
            <v>17000</v>
          </cell>
          <cell r="L251" t="str">
            <v>PC</v>
          </cell>
          <cell r="M251" t="str">
            <v>Mr. Mark Agno</v>
          </cell>
          <cell r="N251" t="str">
            <v>Maintenance Parts &amp; Supplies</v>
          </cell>
        </row>
        <row r="252">
          <cell r="E252" t="str">
            <v>JIG26-02-0025 SEMITEC 8 AED1</v>
          </cell>
          <cell r="G252" t="str">
            <v>ALL IN MODIFICATION</v>
          </cell>
          <cell r="H252" t="str">
            <v>SEMITEC AUTO EJECTOR</v>
          </cell>
          <cell r="I252" t="str">
            <v>NESAS</v>
          </cell>
          <cell r="J252" t="str">
            <v>PHP</v>
          </cell>
          <cell r="K252">
            <v>78210</v>
          </cell>
          <cell r="L252" t="str">
            <v>PC</v>
          </cell>
          <cell r="M252" t="str">
            <v>Mr. Mark Agno</v>
          </cell>
          <cell r="N252" t="str">
            <v>Maintenance Parts &amp; Supplies</v>
          </cell>
        </row>
        <row r="253">
          <cell r="E253" t="str">
            <v>JIG26-02-0026 ASAHIKAKO AED1</v>
          </cell>
          <cell r="G253" t="str">
            <v>PANASONIC PLC</v>
          </cell>
          <cell r="H253" t="str">
            <v>BRAND NEW</v>
          </cell>
          <cell r="I253" t="str">
            <v>NESAS</v>
          </cell>
          <cell r="J253" t="str">
            <v>PHP</v>
          </cell>
          <cell r="K253">
            <v>9801</v>
          </cell>
          <cell r="L253" t="str">
            <v>PC</v>
          </cell>
          <cell r="M253" t="str">
            <v>Mr. Mark Agno</v>
          </cell>
          <cell r="N253" t="str">
            <v>Maintenance Parts &amp; Supplies</v>
          </cell>
        </row>
        <row r="254">
          <cell r="E254" t="str">
            <v>JIG26-02-0026 ASAHIKAKO AED2</v>
          </cell>
          <cell r="G254" t="str">
            <v xml:space="preserve">SWITCHING INDUSTRIAL POWER SUPPLY </v>
          </cell>
          <cell r="H254" t="str">
            <v>24V/1A</v>
          </cell>
          <cell r="I254" t="str">
            <v>ANY</v>
          </cell>
          <cell r="J254" t="str">
            <v>PHP</v>
          </cell>
          <cell r="K254">
            <v>325</v>
          </cell>
          <cell r="L254" t="str">
            <v>PC</v>
          </cell>
          <cell r="M254" t="str">
            <v>Mr. Mark Agno</v>
          </cell>
          <cell r="N254" t="str">
            <v>Maintenance Parts &amp; Supplies</v>
          </cell>
        </row>
        <row r="255">
          <cell r="E255" t="str">
            <v>JIG26-02-0026 ASAHIKAKO AED3</v>
          </cell>
          <cell r="G255" t="str">
            <v>ALEXAN BOX</v>
          </cell>
          <cell r="H255" t="str">
            <v>HC 872</v>
          </cell>
          <cell r="I255" t="str">
            <v>ANY</v>
          </cell>
          <cell r="J255" t="str">
            <v>PHP</v>
          </cell>
          <cell r="K255">
            <v>260</v>
          </cell>
          <cell r="L255" t="str">
            <v>PC</v>
          </cell>
          <cell r="M255" t="str">
            <v>Mr. Mark Agno</v>
          </cell>
          <cell r="N255" t="str">
            <v>Maintenance Parts &amp; Supplies</v>
          </cell>
        </row>
        <row r="256">
          <cell r="E256" t="str">
            <v>JIG26-02-0026 ASAHIKAKO AED4</v>
          </cell>
          <cell r="F256" t="str">
            <v>JIG</v>
          </cell>
          <cell r="G256" t="str">
            <v>CYLINDER</v>
          </cell>
          <cell r="H256" t="str">
            <v>MXS8-50</v>
          </cell>
          <cell r="I256" t="str">
            <v>ANY</v>
          </cell>
          <cell r="J256" t="str">
            <v>PHP</v>
          </cell>
          <cell r="K256">
            <v>2300</v>
          </cell>
          <cell r="L256" t="str">
            <v>PC</v>
          </cell>
          <cell r="M256" t="str">
            <v>Mr. Mark Agno</v>
          </cell>
          <cell r="N256" t="str">
            <v>Maintenance Parts &amp; Supplies</v>
          </cell>
        </row>
        <row r="257">
          <cell r="E257" t="str">
            <v>JIG26-02-0026 ASAHIKAKO AED5</v>
          </cell>
          <cell r="G257" t="str">
            <v>CYLINDER</v>
          </cell>
          <cell r="H257" t="str">
            <v>CUJB10-15DM</v>
          </cell>
          <cell r="I257" t="str">
            <v>ANY</v>
          </cell>
          <cell r="J257" t="str">
            <v>PHP</v>
          </cell>
          <cell r="K257">
            <v>1400</v>
          </cell>
          <cell r="L257" t="str">
            <v>PC</v>
          </cell>
          <cell r="M257" t="str">
            <v>Mr. Mark Agno</v>
          </cell>
          <cell r="N257" t="str">
            <v>Maintenance Parts &amp; Supplies</v>
          </cell>
        </row>
        <row r="258">
          <cell r="E258" t="str">
            <v>JIG26-02-0026 ASAHIKAKO AED6</v>
          </cell>
          <cell r="F258" t="str">
            <v>JIG</v>
          </cell>
          <cell r="G258" t="str">
            <v>LINEAR GUIDE</v>
          </cell>
          <cell r="H258" t="str">
            <v>E-GMLG9-75</v>
          </cell>
          <cell r="I258" t="str">
            <v>RASO</v>
          </cell>
          <cell r="J258" t="str">
            <v>PHP</v>
          </cell>
          <cell r="K258">
            <v>540</v>
          </cell>
          <cell r="L258" t="str">
            <v>PC</v>
          </cell>
          <cell r="M258" t="str">
            <v>Mr. Mark Agno</v>
          </cell>
          <cell r="N258" t="str">
            <v>Maintenance Parts &amp; Supplies</v>
          </cell>
        </row>
        <row r="259">
          <cell r="E259" t="str">
            <v>JIG26-02-0026 ASAHIKAKO AED7</v>
          </cell>
          <cell r="F259" t="str">
            <v>JIG</v>
          </cell>
          <cell r="G259" t="str">
            <v>SOLENOID VALVE 24V</v>
          </cell>
          <cell r="H259" t="str">
            <v>SY3120-5LZD-M5</v>
          </cell>
          <cell r="I259" t="str">
            <v>ANY</v>
          </cell>
          <cell r="J259" t="str">
            <v>PHP</v>
          </cell>
          <cell r="K259">
            <v>1500</v>
          </cell>
          <cell r="L259" t="str">
            <v>PC</v>
          </cell>
          <cell r="M259" t="str">
            <v>Mr. Mark Agno</v>
          </cell>
          <cell r="N259" t="str">
            <v>Maintenance Parts &amp; Supplies</v>
          </cell>
        </row>
        <row r="260">
          <cell r="E260" t="str">
            <v>JIG26-02-0026 ASAHIKAKO AED8</v>
          </cell>
          <cell r="F260" t="str">
            <v>JIG</v>
          </cell>
          <cell r="G260" t="str">
            <v>FITTINGS</v>
          </cell>
          <cell r="H260" t="str">
            <v>AS1201F-M5-04A</v>
          </cell>
          <cell r="I260" t="str">
            <v>ANY</v>
          </cell>
          <cell r="J260" t="str">
            <v>PHP</v>
          </cell>
          <cell r="K260">
            <v>275</v>
          </cell>
          <cell r="L260" t="str">
            <v>PC</v>
          </cell>
          <cell r="M260" t="str">
            <v>Mr. Mark Agno</v>
          </cell>
          <cell r="N260" t="str">
            <v>Maintenance Parts &amp; Supplies</v>
          </cell>
        </row>
        <row r="261">
          <cell r="E261" t="str">
            <v>JIG26-02-0026 ASAHIKAKO AED9</v>
          </cell>
          <cell r="F261" t="str">
            <v>JIG</v>
          </cell>
          <cell r="G261" t="str">
            <v>FITTINGS</v>
          </cell>
          <cell r="H261" t="str">
            <v>KQ2S04-M5A</v>
          </cell>
          <cell r="I261" t="str">
            <v>ANY</v>
          </cell>
          <cell r="J261" t="str">
            <v>PHP</v>
          </cell>
          <cell r="K261">
            <v>184</v>
          </cell>
          <cell r="L261" t="str">
            <v>PC</v>
          </cell>
          <cell r="M261" t="str">
            <v>Mr. Mark Agno</v>
          </cell>
          <cell r="N261" t="str">
            <v>Maintenance Parts &amp; Supplies</v>
          </cell>
        </row>
        <row r="262">
          <cell r="E262" t="str">
            <v>JIG26-02-0026 ASAHIKAKO AED10</v>
          </cell>
          <cell r="F262" t="str">
            <v>JIG</v>
          </cell>
          <cell r="G262" t="str">
            <v>CORNER BRACKET</v>
          </cell>
          <cell r="H262" t="str">
            <v>TYPE L 30 X 30</v>
          </cell>
          <cell r="I262" t="str">
            <v>ANY</v>
          </cell>
          <cell r="J262" t="str">
            <v>PHP</v>
          </cell>
          <cell r="K262">
            <v>33</v>
          </cell>
          <cell r="L262" t="str">
            <v>PC</v>
          </cell>
          <cell r="M262" t="str">
            <v>Mr. Mark Agno</v>
          </cell>
          <cell r="N262" t="str">
            <v>Maintenance Parts &amp; Supplies</v>
          </cell>
        </row>
        <row r="263">
          <cell r="E263" t="str">
            <v>JIG26-02-0027 TRP AOD1</v>
          </cell>
          <cell r="F263" t="str">
            <v>JIG</v>
          </cell>
          <cell r="G263" t="str">
            <v>LINEAR GUIDE</v>
          </cell>
          <cell r="H263" t="str">
            <v>E-GMLG9-75</v>
          </cell>
          <cell r="I263" t="str">
            <v>RASO</v>
          </cell>
          <cell r="J263" t="str">
            <v>PHP</v>
          </cell>
          <cell r="K263">
            <v>540</v>
          </cell>
          <cell r="L263" t="str">
            <v>PC</v>
          </cell>
          <cell r="M263" t="str">
            <v>Mr. Mark Agno</v>
          </cell>
          <cell r="N263" t="str">
            <v>Maintenance Parts &amp; Supplies</v>
          </cell>
        </row>
        <row r="264">
          <cell r="E264" t="str">
            <v>JIG26-02-0028 TRP AOD1</v>
          </cell>
          <cell r="F264" t="str">
            <v>JIG</v>
          </cell>
          <cell r="G264" t="str">
            <v>LINEAR GUIDE</v>
          </cell>
          <cell r="H264" t="str">
            <v>E-GMLG9-75</v>
          </cell>
          <cell r="I264" t="str">
            <v>RASO</v>
          </cell>
          <cell r="J264" t="str">
            <v>PHP</v>
          </cell>
          <cell r="K264">
            <v>540</v>
          </cell>
          <cell r="L264" t="str">
            <v>PC</v>
          </cell>
          <cell r="M264" t="str">
            <v>Mr. Mark Agno</v>
          </cell>
          <cell r="N264" t="str">
            <v>Maintenance Parts &amp; Supplies</v>
          </cell>
        </row>
        <row r="265">
          <cell r="E265" t="str">
            <v>JIG26-02-0029 TRP AOD1</v>
          </cell>
          <cell r="F265" t="str">
            <v>JIG</v>
          </cell>
          <cell r="G265" t="str">
            <v>LINEAR GUIDE</v>
          </cell>
          <cell r="H265" t="str">
            <v>E-GMLG9-75</v>
          </cell>
          <cell r="I265" t="str">
            <v>RASO</v>
          </cell>
          <cell r="J265" t="str">
            <v>PHP</v>
          </cell>
          <cell r="K265">
            <v>540</v>
          </cell>
          <cell r="L265" t="str">
            <v>PC</v>
          </cell>
          <cell r="M265" t="str">
            <v>Mr. Mark Agno</v>
          </cell>
          <cell r="N265" t="str">
            <v>Maintenance Parts &amp; Supplies</v>
          </cell>
        </row>
        <row r="266">
          <cell r="E266" t="str">
            <v>JIG26-02-0030 TRP AOD1</v>
          </cell>
          <cell r="F266" t="str">
            <v>JIG</v>
          </cell>
          <cell r="G266" t="str">
            <v>LINEAR GUIDE</v>
          </cell>
          <cell r="H266" t="str">
            <v>E-GMLG9-75</v>
          </cell>
          <cell r="I266" t="str">
            <v>RASO</v>
          </cell>
          <cell r="J266" t="str">
            <v>PHP</v>
          </cell>
          <cell r="K266">
            <v>540</v>
          </cell>
          <cell r="L266" t="str">
            <v>PC</v>
          </cell>
          <cell r="M266" t="str">
            <v>Mr. Mark Agno</v>
          </cell>
          <cell r="N266" t="str">
            <v>Maintenance Parts &amp; Supplies</v>
          </cell>
        </row>
        <row r="267">
          <cell r="E267" t="str">
            <v>JIG26-02-0031 COMMON MATERIALS1</v>
          </cell>
          <cell r="F267" t="str">
            <v>JIG</v>
          </cell>
          <cell r="G267" t="str">
            <v>ALUMINUM PROFILE</v>
          </cell>
          <cell r="H267" t="str">
            <v>9FT V-SLOT 30X30</v>
          </cell>
          <cell r="I267" t="str">
            <v>ANY</v>
          </cell>
          <cell r="J267" t="str">
            <v>PHP</v>
          </cell>
          <cell r="K267">
            <v>1687</v>
          </cell>
          <cell r="L267" t="str">
            <v>PC</v>
          </cell>
          <cell r="M267" t="str">
            <v>Mr. Mark Agno</v>
          </cell>
          <cell r="N267" t="str">
            <v>Maintenance Parts &amp; Supplies</v>
          </cell>
        </row>
        <row r="268">
          <cell r="E268" t="str">
            <v>JIG26-02-0032 COMMON MATERIALS1</v>
          </cell>
          <cell r="F268" t="str">
            <v>JIG</v>
          </cell>
          <cell r="G268" t="str">
            <v>T-SLOT NUT</v>
          </cell>
          <cell r="H268" t="str">
            <v xml:space="preserve">30# M6 </v>
          </cell>
          <cell r="I268" t="str">
            <v>SHOPEE</v>
          </cell>
          <cell r="J268" t="str">
            <v>PHP</v>
          </cell>
          <cell r="K268">
            <v>132</v>
          </cell>
          <cell r="L268" t="str">
            <v>PACK</v>
          </cell>
          <cell r="M268" t="str">
            <v>Mr. Mark Agno</v>
          </cell>
          <cell r="N268" t="str">
            <v>Maintenance Parts &amp; Supplies</v>
          </cell>
        </row>
        <row r="269">
          <cell r="E269" t="str">
            <v>JIG26-02-0032 COMMON MATERIALS2</v>
          </cell>
          <cell r="F269" t="str">
            <v>JIG</v>
          </cell>
          <cell r="G269" t="str">
            <v>T-SLOT NUT</v>
          </cell>
          <cell r="H269" t="str">
            <v>20# M5</v>
          </cell>
          <cell r="I269" t="str">
            <v>SHOPEE</v>
          </cell>
          <cell r="J269" t="str">
            <v>PHP</v>
          </cell>
          <cell r="K269">
            <v>132</v>
          </cell>
          <cell r="L269" t="str">
            <v>PACK</v>
          </cell>
          <cell r="M269" t="str">
            <v>Mr. Mark Agno</v>
          </cell>
          <cell r="N269" t="str">
            <v>Maintenance Parts &amp; Supplies</v>
          </cell>
        </row>
        <row r="270">
          <cell r="E270" t="str">
            <v>JIG26-02-0032 COMMON MATERIALS3</v>
          </cell>
          <cell r="F270" t="str">
            <v>JIG</v>
          </cell>
          <cell r="G270" t="str">
            <v>T-NUT HAMMER HEAD</v>
          </cell>
          <cell r="H270" t="str">
            <v>3030-M6</v>
          </cell>
          <cell r="I270" t="str">
            <v>SHOPEE</v>
          </cell>
          <cell r="J270" t="str">
            <v>PHP</v>
          </cell>
          <cell r="K270">
            <v>78</v>
          </cell>
          <cell r="L270" t="str">
            <v>PACK</v>
          </cell>
          <cell r="M270" t="str">
            <v>Mr. Mark Agno</v>
          </cell>
          <cell r="N270" t="str">
            <v>Maintenance Parts &amp; Supplies</v>
          </cell>
        </row>
        <row r="271">
          <cell r="E271" t="str">
            <v>JIG26-02-0033 JIG-MM-0051</v>
          </cell>
          <cell r="F271" t="str">
            <v>JIG</v>
          </cell>
          <cell r="G271" t="str">
            <v>ENDMILL</v>
          </cell>
          <cell r="H271" t="str">
            <v>1.5 MM</v>
          </cell>
          <cell r="I271" t="str">
            <v>SHOPEE</v>
          </cell>
          <cell r="J271" t="str">
            <v>PHP</v>
          </cell>
          <cell r="K271">
            <v>271</v>
          </cell>
          <cell r="L271" t="str">
            <v>PC</v>
          </cell>
          <cell r="M271" t="str">
            <v>Ms. Carla</v>
          </cell>
          <cell r="N271" t="str">
            <v>Maintenance Parts &amp; Supplies</v>
          </cell>
        </row>
        <row r="272">
          <cell r="E272" t="str">
            <v>JIG26-02-0033 JIG-MM-0052</v>
          </cell>
          <cell r="F272" t="str">
            <v>JIG</v>
          </cell>
          <cell r="G272" t="str">
            <v>ENDMILL</v>
          </cell>
          <cell r="H272" t="str">
            <v>2 MM</v>
          </cell>
          <cell r="I272" t="str">
            <v>SHOPEE</v>
          </cell>
          <cell r="J272" t="str">
            <v>PHP</v>
          </cell>
          <cell r="K272">
            <v>271</v>
          </cell>
          <cell r="L272" t="str">
            <v>PC</v>
          </cell>
          <cell r="M272" t="str">
            <v>Ms. Carla</v>
          </cell>
          <cell r="N272" t="str">
            <v>Maintenance Parts &amp; Supplies</v>
          </cell>
        </row>
        <row r="273">
          <cell r="E273" t="str">
            <v>JIG26-02-0033 JIG-MM-0053</v>
          </cell>
          <cell r="F273" t="str">
            <v>JIG</v>
          </cell>
          <cell r="G273" t="str">
            <v>ENDMILL</v>
          </cell>
          <cell r="H273" t="str">
            <v>3 MM</v>
          </cell>
          <cell r="I273" t="str">
            <v>SHOPEE</v>
          </cell>
          <cell r="J273" t="str">
            <v>PHP</v>
          </cell>
          <cell r="K273">
            <v>271</v>
          </cell>
          <cell r="L273" t="str">
            <v>PC</v>
          </cell>
          <cell r="M273" t="str">
            <v>Ms. Carla</v>
          </cell>
          <cell r="N273" t="str">
            <v>Maintenance Parts &amp; Supplies</v>
          </cell>
        </row>
        <row r="274">
          <cell r="E274" t="str">
            <v>JIG26-02-0033 JIG-MM-0054</v>
          </cell>
          <cell r="F274" t="str">
            <v>JIG</v>
          </cell>
          <cell r="G274" t="str">
            <v>ENDMILL</v>
          </cell>
          <cell r="H274" t="str">
            <v>4 MM</v>
          </cell>
          <cell r="I274" t="str">
            <v>SHOPEE</v>
          </cell>
          <cell r="J274" t="str">
            <v>PHP</v>
          </cell>
          <cell r="K274">
            <v>271</v>
          </cell>
          <cell r="L274" t="str">
            <v>PC</v>
          </cell>
          <cell r="M274" t="str">
            <v>Ms. Carla</v>
          </cell>
          <cell r="N274" t="str">
            <v>Maintenance Parts &amp; Supplies</v>
          </cell>
        </row>
        <row r="275">
          <cell r="E275" t="str">
            <v>JIG26-02-0034 COMMON MATERIALS1</v>
          </cell>
          <cell r="F275" t="str">
            <v>JIG</v>
          </cell>
          <cell r="G275" t="str">
            <v>LINEAR GUIDE</v>
          </cell>
          <cell r="H275" t="str">
            <v>E-GMLG9-75</v>
          </cell>
          <cell r="I275" t="str">
            <v>RASO</v>
          </cell>
          <cell r="J275" t="str">
            <v>PHP</v>
          </cell>
          <cell r="K275">
            <v>540</v>
          </cell>
          <cell r="L275" t="str">
            <v>PC</v>
          </cell>
          <cell r="M275" t="str">
            <v>Mr. Mark Agno</v>
          </cell>
          <cell r="N275" t="str">
            <v>Maintenance Parts &amp; Supplies</v>
          </cell>
        </row>
        <row r="276">
          <cell r="E276" t="str">
            <v>JIG26-02-0035 COMMON MATERIALS1</v>
          </cell>
          <cell r="F276" t="str">
            <v>JIG</v>
          </cell>
          <cell r="G276" t="str">
            <v>ACRYLIC</v>
          </cell>
          <cell r="H276" t="str">
            <v>6MM 8FT X 4FT</v>
          </cell>
          <cell r="I276" t="str">
            <v>ANY</v>
          </cell>
          <cell r="J276" t="str">
            <v>PHP</v>
          </cell>
          <cell r="K276">
            <v>4000</v>
          </cell>
          <cell r="L276" t="str">
            <v>PC</v>
          </cell>
          <cell r="M276" t="str">
            <v>Mr. Mark Agno</v>
          </cell>
          <cell r="N276" t="str">
            <v>Maintenance Parts &amp; Supplies</v>
          </cell>
        </row>
        <row r="277">
          <cell r="E277" t="str">
            <v>JIG26-02-0035 COMMON MATERIALS2</v>
          </cell>
          <cell r="F277" t="str">
            <v>JIG</v>
          </cell>
          <cell r="G277" t="str">
            <v>ACRYLIC DIFFUSER</v>
          </cell>
          <cell r="H277" t="str">
            <v>WHITE 2MM X 4FT X 8FT</v>
          </cell>
          <cell r="I277" t="str">
            <v>ANY</v>
          </cell>
          <cell r="J277" t="str">
            <v>PHP</v>
          </cell>
          <cell r="K277">
            <v>1467</v>
          </cell>
          <cell r="L277" t="str">
            <v>PC</v>
          </cell>
          <cell r="M277" t="str">
            <v>Mr. Mark Agno</v>
          </cell>
          <cell r="N277" t="str">
            <v>Maintenance Parts &amp; Supplies</v>
          </cell>
        </row>
        <row r="278">
          <cell r="E278" t="str">
            <v>JIG26-02-0035 COMMON MATERIALS3</v>
          </cell>
          <cell r="F278" t="str">
            <v>JIG</v>
          </cell>
          <cell r="G278" t="str">
            <v>ACRYLIC DIFFUSER</v>
          </cell>
          <cell r="H278" t="str">
            <v>WHITE 3MM X 4FT X 8FT</v>
          </cell>
          <cell r="I278" t="str">
            <v>ANY</v>
          </cell>
          <cell r="J278" t="str">
            <v>PHP</v>
          </cell>
          <cell r="K278">
            <v>2200</v>
          </cell>
          <cell r="L278" t="str">
            <v>PC</v>
          </cell>
          <cell r="M278" t="str">
            <v>Mr. Mark Agno</v>
          </cell>
          <cell r="N278" t="str">
            <v>Maintenance Parts &amp; Supplies</v>
          </cell>
        </row>
        <row r="279">
          <cell r="E279" t="str">
            <v>JIG26-02-0036 COMMON MATERIALS1</v>
          </cell>
          <cell r="G279" t="str">
            <v>ALUMINUM PROFILE</v>
          </cell>
          <cell r="H279" t="str">
            <v xml:space="preserve">6FT 20X20 </v>
          </cell>
          <cell r="I279" t="str">
            <v>VLCR</v>
          </cell>
          <cell r="J279" t="str">
            <v>PHP</v>
          </cell>
          <cell r="K279">
            <v>598</v>
          </cell>
          <cell r="L279" t="str">
            <v>PC</v>
          </cell>
          <cell r="M279" t="str">
            <v>Mr. Mark Agno</v>
          </cell>
          <cell r="N279" t="str">
            <v>Maintenance Parts &amp; Supplies</v>
          </cell>
        </row>
        <row r="280">
          <cell r="E280" t="str">
            <v>JIG26-02-0037 COMMON MATERIALS1</v>
          </cell>
          <cell r="F280" t="str">
            <v>JIG</v>
          </cell>
          <cell r="G280" t="str">
            <v>SWITCH</v>
          </cell>
          <cell r="H280" t="str">
            <v>D2F-01L3-D2</v>
          </cell>
          <cell r="I280" t="str">
            <v>ANY</v>
          </cell>
          <cell r="J280" t="str">
            <v>PHP</v>
          </cell>
          <cell r="K280">
            <v>103</v>
          </cell>
          <cell r="L280" t="str">
            <v>PC</v>
          </cell>
          <cell r="M280" t="str">
            <v>Mr. Mark Agno</v>
          </cell>
          <cell r="N280" t="str">
            <v>Maintenance Parts &amp; Supplies</v>
          </cell>
        </row>
        <row r="281">
          <cell r="E281" t="str">
            <v>JIG26-02-0038 COMMON MATERIALS1</v>
          </cell>
          <cell r="F281" t="str">
            <v>JIG</v>
          </cell>
          <cell r="G281" t="str">
            <v>TOGGLE CLAMP</v>
          </cell>
          <cell r="H281" t="str">
            <v>HV-150</v>
          </cell>
          <cell r="I281" t="str">
            <v>VLCR</v>
          </cell>
          <cell r="J281" t="str">
            <v>PHP</v>
          </cell>
          <cell r="K281">
            <v>790</v>
          </cell>
          <cell r="L281" t="str">
            <v>PC</v>
          </cell>
          <cell r="M281" t="str">
            <v>Mr. Mark Agno</v>
          </cell>
          <cell r="N281" t="str">
            <v>Maintenance Parts &amp; Supplies</v>
          </cell>
        </row>
        <row r="282">
          <cell r="E282" t="str">
            <v>JIG26-02-0039 COMMON MATERIALS1</v>
          </cell>
          <cell r="F282" t="str">
            <v>JIG</v>
          </cell>
          <cell r="G282" t="str">
            <v>CARBON STEEL SLOT NUT</v>
          </cell>
          <cell r="H282" t="str">
            <v>EU- 20 SERIES-M5</v>
          </cell>
          <cell r="I282" t="str">
            <v>ANY</v>
          </cell>
          <cell r="J282" t="str">
            <v>PHP</v>
          </cell>
          <cell r="K282">
            <v>49</v>
          </cell>
          <cell r="L282" t="str">
            <v>PACK</v>
          </cell>
          <cell r="M282" t="str">
            <v>Ms. Carla</v>
          </cell>
          <cell r="N282" t="str">
            <v>Maintenance Parts &amp; Supplies</v>
          </cell>
        </row>
        <row r="283">
          <cell r="E283" t="str">
            <v>JIG26-02-0040 COMMON MATERIALS1</v>
          </cell>
          <cell r="F283" t="str">
            <v>JIG</v>
          </cell>
          <cell r="G283" t="str">
            <v>ACETAL SHEETS</v>
          </cell>
          <cell r="H283" t="str">
            <v>3MM 1FT X 1FT</v>
          </cell>
          <cell r="I283" t="str">
            <v>LAZADA</v>
          </cell>
          <cell r="J283" t="str">
            <v>PHP</v>
          </cell>
          <cell r="K283">
            <v>1070</v>
          </cell>
          <cell r="L283" t="str">
            <v>PC</v>
          </cell>
          <cell r="M283" t="str">
            <v>Ms. Carla</v>
          </cell>
          <cell r="N283" t="str">
            <v>Maintenance Parts &amp; Supplies</v>
          </cell>
        </row>
        <row r="284">
          <cell r="E284" t="str">
            <v>JIG26-02-0040 COMMON MATERIALS2</v>
          </cell>
          <cell r="F284" t="str">
            <v>JIG</v>
          </cell>
          <cell r="G284" t="str">
            <v>ACETAL SHEETS</v>
          </cell>
          <cell r="H284" t="str">
            <v>6MM 1FT X 1FT</v>
          </cell>
          <cell r="I284" t="str">
            <v>ANY</v>
          </cell>
          <cell r="J284" t="str">
            <v>PHP</v>
          </cell>
          <cell r="K284">
            <v>1040</v>
          </cell>
          <cell r="L284" t="str">
            <v>PC</v>
          </cell>
          <cell r="M284" t="str">
            <v>Ms. Carla</v>
          </cell>
          <cell r="N284" t="str">
            <v>Maintenance Parts &amp; Supplies</v>
          </cell>
        </row>
        <row r="285">
          <cell r="E285" t="str">
            <v>JIG26-02-0040 COMMON MATERIALS3</v>
          </cell>
          <cell r="F285" t="str">
            <v>JIG</v>
          </cell>
          <cell r="G285" t="str">
            <v>ACETAL SHEETS</v>
          </cell>
          <cell r="H285" t="str">
            <v>10MM 1FT X 1FT</v>
          </cell>
          <cell r="I285" t="str">
            <v>ANY</v>
          </cell>
          <cell r="J285" t="str">
            <v>PHP</v>
          </cell>
          <cell r="K285">
            <v>1268</v>
          </cell>
          <cell r="L285" t="str">
            <v>PC</v>
          </cell>
          <cell r="M285" t="str">
            <v>Ms. Carla</v>
          </cell>
          <cell r="N285" t="str">
            <v>Maintenance Parts &amp; Supplies</v>
          </cell>
        </row>
        <row r="286">
          <cell r="E286" t="str">
            <v>JIG26-02-0041 COMMON MATERIALS1</v>
          </cell>
          <cell r="F286" t="str">
            <v>JIG</v>
          </cell>
          <cell r="G286" t="str">
            <v>SOLENOID VALVE 24V</v>
          </cell>
          <cell r="H286" t="str">
            <v>SY3120-5LZD-M5</v>
          </cell>
          <cell r="I286" t="str">
            <v>ANY</v>
          </cell>
          <cell r="J286" t="str">
            <v>PHP</v>
          </cell>
          <cell r="K286">
            <v>1500</v>
          </cell>
          <cell r="L286" t="str">
            <v>PC</v>
          </cell>
          <cell r="M286" t="str">
            <v>Mr. Mark Agno</v>
          </cell>
          <cell r="N286" t="str">
            <v>Maintenance Parts &amp; Supplies</v>
          </cell>
        </row>
        <row r="287">
          <cell r="E287" t="str">
            <v>JIG26-02-0042 JIG SAFETY1</v>
          </cell>
          <cell r="F287" t="str">
            <v>JIG</v>
          </cell>
          <cell r="G287" t="str">
            <v>ANTI SLIP TAPE</v>
          </cell>
          <cell r="H287" t="str">
            <v>BLACK-5CM*5MM</v>
          </cell>
          <cell r="I287" t="str">
            <v>SHOPEE</v>
          </cell>
          <cell r="J287" t="str">
            <v>PHP</v>
          </cell>
          <cell r="K287">
            <v>70</v>
          </cell>
          <cell r="L287" t="str">
            <v>PC</v>
          </cell>
          <cell r="M287" t="str">
            <v>Ms. Carla</v>
          </cell>
          <cell r="N287" t="str">
            <v>Maintenance Parts &amp; Supplies</v>
          </cell>
        </row>
        <row r="288">
          <cell r="E288" t="str">
            <v>JIG26-02-0043 COMMON MATERIALS1</v>
          </cell>
          <cell r="F288" t="str">
            <v>JIG</v>
          </cell>
          <cell r="G288" t="str">
            <v>BATTERY</v>
          </cell>
          <cell r="H288" t="str">
            <v>AA</v>
          </cell>
          <cell r="I288" t="str">
            <v>ANY</v>
          </cell>
          <cell r="J288" t="str">
            <v>PHP</v>
          </cell>
          <cell r="K288">
            <v>20</v>
          </cell>
          <cell r="L288" t="str">
            <v>PC</v>
          </cell>
          <cell r="M288" t="str">
            <v>Mr. Mark Agno</v>
          </cell>
          <cell r="N288" t="str">
            <v>Maintenance Parts &amp; Supplies</v>
          </cell>
        </row>
        <row r="289">
          <cell r="E289" t="str">
            <v>JIG26-02-0044 SEMITEC AED1</v>
          </cell>
          <cell r="F289" t="str">
            <v>JIG</v>
          </cell>
          <cell r="G289" t="str">
            <v>BINDER CUTTER</v>
          </cell>
          <cell r="H289" t="str">
            <v>-</v>
          </cell>
          <cell r="I289" t="str">
            <v>NESAS</v>
          </cell>
          <cell r="J289" t="str">
            <v>PHP</v>
          </cell>
          <cell r="K289">
            <v>17000</v>
          </cell>
          <cell r="L289" t="str">
            <v>PC</v>
          </cell>
          <cell r="M289" t="str">
            <v>Mr. Mark Agno</v>
          </cell>
          <cell r="N289" t="str">
            <v>Maintenance Parts &amp; Supplies</v>
          </cell>
        </row>
        <row r="290">
          <cell r="E290" t="str">
            <v>JIG26-02-0045 RYODEN AED1</v>
          </cell>
          <cell r="G290" t="str">
            <v>SENSOR</v>
          </cell>
          <cell r="H290" t="str">
            <v>ESL-25N0</v>
          </cell>
          <cell r="I290" t="str">
            <v>AKUSENSE</v>
          </cell>
          <cell r="J290" t="str">
            <v>PHP</v>
          </cell>
          <cell r="K290">
            <v>1666</v>
          </cell>
          <cell r="L290" t="str">
            <v>PC</v>
          </cell>
          <cell r="M290" t="str">
            <v>Mr. Mark Agno</v>
          </cell>
          <cell r="N290" t="str">
            <v>Maintenance Parts &amp; Supplies</v>
          </cell>
        </row>
        <row r="291">
          <cell r="E291" t="str">
            <v>JIG26-02-0045 RYODEN AED2</v>
          </cell>
          <cell r="G291" t="str">
            <v xml:space="preserve">VT3-KEYENCE TOUCH PANEL </v>
          </cell>
          <cell r="H291" t="str">
            <v>REPURBISHED</v>
          </cell>
          <cell r="I291" t="str">
            <v>NESAS</v>
          </cell>
          <cell r="J291" t="str">
            <v>PHP</v>
          </cell>
          <cell r="K291">
            <v>6300</v>
          </cell>
          <cell r="L291" t="str">
            <v>PC</v>
          </cell>
          <cell r="M291" t="str">
            <v>Mr. Mark Agno</v>
          </cell>
          <cell r="N291" t="str">
            <v>Maintenance Parts &amp; Supplies</v>
          </cell>
        </row>
        <row r="292">
          <cell r="E292" t="str">
            <v>JIG26-02-0046 SEMITEC AED GE-18011A 1</v>
          </cell>
          <cell r="F292" t="str">
            <v>JIG</v>
          </cell>
          <cell r="G292" t="str">
            <v>AMPLIFIER WITH FIBER OPTIC</v>
          </cell>
          <cell r="H292" t="str">
            <v>PC1-NH</v>
          </cell>
          <cell r="I292" t="str">
            <v>AKUSENSE</v>
          </cell>
          <cell r="J292" t="str">
            <v>PHP</v>
          </cell>
          <cell r="K292">
            <v>3539.25</v>
          </cell>
          <cell r="L292" t="str">
            <v>PC</v>
          </cell>
          <cell r="M292" t="str">
            <v>Mr. Mark Agno</v>
          </cell>
          <cell r="N292" t="str">
            <v>Maintenance Parts &amp; Supplies</v>
          </cell>
        </row>
        <row r="293">
          <cell r="E293" t="str">
            <v>JIG26-02-0046 SEMITEC AED GE-18011A 2</v>
          </cell>
          <cell r="F293" t="str">
            <v>JIG</v>
          </cell>
          <cell r="G293" t="str">
            <v>TIMER</v>
          </cell>
          <cell r="H293" t="str">
            <v>H3Y 110V/5 SEC. (ALTERNATIVE)</v>
          </cell>
          <cell r="I293" t="str">
            <v>VLCR</v>
          </cell>
          <cell r="J293" t="str">
            <v>PHP</v>
          </cell>
          <cell r="K293">
            <v>550</v>
          </cell>
          <cell r="L293" t="str">
            <v>SET</v>
          </cell>
          <cell r="M293" t="str">
            <v>Mr. Mark Agno</v>
          </cell>
          <cell r="N293" t="str">
            <v>Maintenance Parts &amp; Supplies</v>
          </cell>
        </row>
        <row r="294">
          <cell r="E294" t="str">
            <v>JIG26-02-0047 HIS TDK AOD1</v>
          </cell>
          <cell r="G294" t="str">
            <v>PANASONIC PLC (BRAND NEW)</v>
          </cell>
          <cell r="H294" t="str">
            <v>FP0-C32</v>
          </cell>
          <cell r="I294" t="str">
            <v>NESAS</v>
          </cell>
          <cell r="J294" t="str">
            <v>PHP</v>
          </cell>
          <cell r="K294">
            <v>9801</v>
          </cell>
          <cell r="L294" t="str">
            <v>PC</v>
          </cell>
          <cell r="M294" t="str">
            <v>Mr. Mark Agno</v>
          </cell>
          <cell r="N294" t="str">
            <v>Maintenance Parts &amp; Supplies</v>
          </cell>
        </row>
        <row r="295">
          <cell r="E295" t="str">
            <v>JIG26-02-0047 HIS TDK AOD2</v>
          </cell>
          <cell r="G295" t="str">
            <v xml:space="preserve">SWITCHING INDUSTRIAL POWER SUPPLY </v>
          </cell>
          <cell r="H295" t="str">
            <v>24V/2A</v>
          </cell>
          <cell r="I295" t="str">
            <v>ANY</v>
          </cell>
          <cell r="J295" t="str">
            <v>PHP</v>
          </cell>
          <cell r="K295">
            <v>425</v>
          </cell>
          <cell r="L295" t="str">
            <v>PC</v>
          </cell>
          <cell r="M295" t="str">
            <v>Mr. Mark Agno</v>
          </cell>
          <cell r="N295" t="str">
            <v>Maintenance Parts &amp; Supplies</v>
          </cell>
        </row>
        <row r="296">
          <cell r="E296" t="str">
            <v>JIG26-02-0047 HIS TDK AOD3</v>
          </cell>
          <cell r="G296" t="str">
            <v>ALEXAN BOX</v>
          </cell>
          <cell r="H296" t="str">
            <v>HC 872</v>
          </cell>
          <cell r="I296" t="str">
            <v>ANY</v>
          </cell>
          <cell r="J296" t="str">
            <v>PHP</v>
          </cell>
          <cell r="K296">
            <v>260</v>
          </cell>
          <cell r="L296" t="str">
            <v>PC</v>
          </cell>
          <cell r="M296" t="str">
            <v>Mr. Mark Agno</v>
          </cell>
          <cell r="N296" t="str">
            <v>Maintenance Parts &amp; Supplies</v>
          </cell>
        </row>
        <row r="297">
          <cell r="E297" t="str">
            <v>JIG26-02-0047 HIS TDK AOD4</v>
          </cell>
          <cell r="F297" t="str">
            <v>JIG</v>
          </cell>
          <cell r="G297" t="str">
            <v>SWITCH</v>
          </cell>
          <cell r="H297" t="str">
            <v>ON / OFF</v>
          </cell>
          <cell r="I297" t="str">
            <v>ANY</v>
          </cell>
          <cell r="J297" t="str">
            <v>PHP</v>
          </cell>
          <cell r="K297">
            <v>25</v>
          </cell>
          <cell r="L297" t="str">
            <v>PC</v>
          </cell>
          <cell r="M297" t="str">
            <v>Mr. Mark Agno</v>
          </cell>
          <cell r="N297" t="str">
            <v>Maintenance Parts &amp; Supplies</v>
          </cell>
        </row>
        <row r="298">
          <cell r="E298" t="str">
            <v>JIG26-02-0047 HIS TDK AOD5</v>
          </cell>
          <cell r="G298" t="str">
            <v>MINI BUZZER</v>
          </cell>
          <cell r="H298" t="str">
            <v>-</v>
          </cell>
          <cell r="I298" t="str">
            <v>ANY</v>
          </cell>
          <cell r="J298" t="str">
            <v>PHP</v>
          </cell>
          <cell r="K298">
            <v>55</v>
          </cell>
          <cell r="L298" t="str">
            <v>PC</v>
          </cell>
          <cell r="M298" t="str">
            <v>Mr. Mark Agno</v>
          </cell>
          <cell r="N298" t="str">
            <v>Maintenance Parts &amp; Supplies</v>
          </cell>
        </row>
        <row r="299">
          <cell r="E299" t="str">
            <v>JIG26-02-0047 HIS TDK AOD6</v>
          </cell>
          <cell r="G299" t="str">
            <v>SENSOR</v>
          </cell>
          <cell r="H299" t="str">
            <v>ESL-25N0</v>
          </cell>
          <cell r="I299" t="str">
            <v>AKUSENSE</v>
          </cell>
          <cell r="J299" t="str">
            <v>PHP</v>
          </cell>
          <cell r="K299">
            <v>1666</v>
          </cell>
          <cell r="L299" t="str">
            <v>PC</v>
          </cell>
          <cell r="M299" t="str">
            <v>Mr. Mark Agno</v>
          </cell>
          <cell r="N299" t="str">
            <v>Maintenance Parts &amp; Supplies</v>
          </cell>
        </row>
        <row r="300">
          <cell r="E300" t="str">
            <v>JIG26-02-0048 QA1</v>
          </cell>
          <cell r="F300" t="str">
            <v>JIG</v>
          </cell>
          <cell r="G300" t="str">
            <v>3D PRINTER PLA BASIC FILAMENT</v>
          </cell>
          <cell r="H300" t="str">
            <v>1.75MM 1KG MAGENTA</v>
          </cell>
          <cell r="I300" t="str">
            <v>BAMBU LAB</v>
          </cell>
          <cell r="J300" t="str">
            <v>PHP</v>
          </cell>
          <cell r="K300">
            <v>824</v>
          </cell>
          <cell r="L300" t="str">
            <v>SPOOL</v>
          </cell>
          <cell r="M300" t="str">
            <v>Ms. Carla</v>
          </cell>
          <cell r="N300" t="str">
            <v>Maintenance Parts &amp; Supplies</v>
          </cell>
        </row>
        <row r="301">
          <cell r="E301" t="str">
            <v>JIG26-02-0048 QA2</v>
          </cell>
          <cell r="F301" t="str">
            <v>JIG</v>
          </cell>
          <cell r="G301" t="str">
            <v>3D PRINTER PLA BASIC FILAMENT</v>
          </cell>
          <cell r="H301" t="str">
            <v>1.75MM 1KG YELLOW</v>
          </cell>
          <cell r="I301" t="str">
            <v>BAMBU LAB</v>
          </cell>
          <cell r="J301" t="str">
            <v>PHP</v>
          </cell>
          <cell r="K301">
            <v>824</v>
          </cell>
          <cell r="L301" t="str">
            <v>SPOOL</v>
          </cell>
          <cell r="M301" t="str">
            <v>Ms. Carla</v>
          </cell>
          <cell r="N301" t="str">
            <v>Maintenance Parts &amp; Supplies</v>
          </cell>
        </row>
        <row r="302">
          <cell r="E302" t="str">
            <v>JIG26-02-0048 QA3</v>
          </cell>
          <cell r="F302" t="str">
            <v>JIG</v>
          </cell>
          <cell r="G302" t="str">
            <v>3D PRINTER PLA BASIC FILAMENT</v>
          </cell>
          <cell r="H302" t="str">
            <v>1.75MM 1KG BLUE</v>
          </cell>
          <cell r="I302" t="str">
            <v>BAMBU LAB</v>
          </cell>
          <cell r="J302" t="str">
            <v>PHP</v>
          </cell>
          <cell r="K302">
            <v>824</v>
          </cell>
          <cell r="L302" t="str">
            <v>SPOOL</v>
          </cell>
          <cell r="M302" t="str">
            <v>Ms. Carla</v>
          </cell>
          <cell r="N302" t="str">
            <v>Maintenance Parts &amp; Supplies</v>
          </cell>
        </row>
        <row r="303">
          <cell r="E303" t="str">
            <v>JIG26-02-0048 QA4</v>
          </cell>
          <cell r="F303" t="str">
            <v>JIG</v>
          </cell>
          <cell r="G303" t="str">
            <v>3D PRINTER PLA BASIC FILAMENT</v>
          </cell>
          <cell r="H303" t="str">
            <v>1.75MM 1KG GREEN</v>
          </cell>
          <cell r="I303" t="str">
            <v>BAMBU LAB</v>
          </cell>
          <cell r="J303" t="str">
            <v>PHP</v>
          </cell>
          <cell r="K303">
            <v>824</v>
          </cell>
          <cell r="L303" t="str">
            <v>SPOOL</v>
          </cell>
          <cell r="M303" t="str">
            <v>Ms. Carla</v>
          </cell>
          <cell r="N303" t="str">
            <v>Maintenance Parts &amp; Supplies</v>
          </cell>
        </row>
        <row r="304">
          <cell r="E304" t="str">
            <v>JIG26-02-0048 QA5</v>
          </cell>
          <cell r="F304" t="str">
            <v>JIG</v>
          </cell>
          <cell r="G304" t="str">
            <v>3D PRINTER PLA BASIC FILAMENT</v>
          </cell>
          <cell r="H304" t="str">
            <v>1.75MM 1KG RED</v>
          </cell>
          <cell r="I304" t="str">
            <v>BAMBU LAB</v>
          </cell>
          <cell r="J304" t="str">
            <v>PHP</v>
          </cell>
          <cell r="K304">
            <v>824</v>
          </cell>
          <cell r="L304" t="str">
            <v>SPOOL</v>
          </cell>
          <cell r="M304" t="str">
            <v>Ms. Carla</v>
          </cell>
          <cell r="N304" t="str">
            <v>Maintenance Parts &amp; Supplies</v>
          </cell>
        </row>
        <row r="305">
          <cell r="E305" t="str">
            <v>JIG26-02-0049 COMMON MATERIALS1</v>
          </cell>
          <cell r="F305" t="str">
            <v>JIG</v>
          </cell>
          <cell r="G305" t="str">
            <v>LED GREEN (SUPER BRIGHT)</v>
          </cell>
          <cell r="H305" t="str">
            <v>3MM</v>
          </cell>
          <cell r="I305" t="str">
            <v>ANY</v>
          </cell>
          <cell r="J305" t="str">
            <v>PHP</v>
          </cell>
          <cell r="K305">
            <v>4.8499999999999996</v>
          </cell>
          <cell r="L305" t="str">
            <v>PC</v>
          </cell>
          <cell r="M305" t="str">
            <v>Mr. Mark Agno</v>
          </cell>
          <cell r="N305" t="str">
            <v>Maintenance Parts &amp; Supplies</v>
          </cell>
        </row>
        <row r="306">
          <cell r="E306" t="str">
            <v>JIG26-02-0049 COMMON MATERIALS2</v>
          </cell>
          <cell r="F306" t="str">
            <v>JIG</v>
          </cell>
          <cell r="G306" t="str">
            <v>DIODE</v>
          </cell>
          <cell r="H306" t="str">
            <v>IN4001</v>
          </cell>
          <cell r="I306" t="str">
            <v>ANY</v>
          </cell>
          <cell r="J306" t="str">
            <v>PHP</v>
          </cell>
          <cell r="K306">
            <v>5</v>
          </cell>
          <cell r="L306" t="str">
            <v>PC</v>
          </cell>
          <cell r="M306" t="str">
            <v>Mr. Mark Agno</v>
          </cell>
          <cell r="N306" t="str">
            <v>Maintenance Parts &amp; Supplies</v>
          </cell>
        </row>
        <row r="307">
          <cell r="E307" t="str">
            <v>JIG26-02-0049 COMMON MATERIALS3</v>
          </cell>
          <cell r="G307" t="str">
            <v>TRANSISTOR</v>
          </cell>
          <cell r="H307" t="str">
            <v>2N5060</v>
          </cell>
          <cell r="I307" t="str">
            <v>ANY</v>
          </cell>
          <cell r="J307" t="str">
            <v>PHP</v>
          </cell>
          <cell r="K307">
            <v>19</v>
          </cell>
          <cell r="L307" t="str">
            <v>PC</v>
          </cell>
          <cell r="M307" t="str">
            <v>Mr. Mark Agno</v>
          </cell>
          <cell r="N307" t="str">
            <v>Maintenance Parts &amp; Supplies</v>
          </cell>
        </row>
        <row r="308">
          <cell r="E308" t="str">
            <v>JIG26-02-0050 COMMON MATERIALS1</v>
          </cell>
          <cell r="F308" t="str">
            <v>JIG</v>
          </cell>
          <cell r="G308" t="str">
            <v>FITTINGS</v>
          </cell>
          <cell r="H308" t="str">
            <v>KQ2S04-M5A</v>
          </cell>
          <cell r="I308" t="str">
            <v>ANY</v>
          </cell>
          <cell r="J308" t="str">
            <v>PHP</v>
          </cell>
          <cell r="K308">
            <v>184</v>
          </cell>
          <cell r="L308" t="str">
            <v>PC</v>
          </cell>
          <cell r="M308" t="str">
            <v>Mr. Mark Agno</v>
          </cell>
          <cell r="N308" t="str">
            <v>Maintenance Parts &amp; Supplies</v>
          </cell>
        </row>
        <row r="309">
          <cell r="E309" t="str">
            <v>JIG26-02-0051 CLEANING MATERIALS1</v>
          </cell>
          <cell r="F309" t="str">
            <v>JIG</v>
          </cell>
          <cell r="G309" t="str">
            <v>RAGS</v>
          </cell>
          <cell r="H309" t="str">
            <v>SQUARE 1KG</v>
          </cell>
          <cell r="I309" t="str">
            <v>ANY</v>
          </cell>
          <cell r="J309" t="str">
            <v>PHP</v>
          </cell>
          <cell r="K309">
            <v>55</v>
          </cell>
          <cell r="L309" t="str">
            <v>SET</v>
          </cell>
          <cell r="M309" t="str">
            <v>Mr. Mark Agno</v>
          </cell>
          <cell r="N309" t="str">
            <v>Maintenance Parts &amp; Supplies</v>
          </cell>
        </row>
        <row r="310">
          <cell r="E310" t="str">
            <v>JIG26-02-0051 CLEANING MATERIALS2</v>
          </cell>
          <cell r="F310" t="str">
            <v>JIG</v>
          </cell>
          <cell r="G310" t="str">
            <v>RAGS</v>
          </cell>
          <cell r="H310" t="str">
            <v>ROUND 1KG</v>
          </cell>
          <cell r="I310" t="str">
            <v>ANY</v>
          </cell>
          <cell r="J310" t="str">
            <v>PHP</v>
          </cell>
          <cell r="K310">
            <v>53</v>
          </cell>
          <cell r="L310" t="str">
            <v>SET</v>
          </cell>
          <cell r="M310" t="str">
            <v>Mr. Mark Agno</v>
          </cell>
          <cell r="N310" t="str">
            <v>Maintenance Parts &amp; Supplies</v>
          </cell>
        </row>
        <row r="311">
          <cell r="E311" t="str">
            <v>JIG26-02-0052 COMMON MATERIALS1</v>
          </cell>
          <cell r="F311" t="str">
            <v>JIG</v>
          </cell>
          <cell r="G311" t="str">
            <v xml:space="preserve">MICRO SWITCH </v>
          </cell>
          <cell r="H311" t="str">
            <v>P336-01</v>
          </cell>
          <cell r="I311" t="str">
            <v>ANY</v>
          </cell>
          <cell r="J311" t="str">
            <v>PHP</v>
          </cell>
          <cell r="K311">
            <v>25</v>
          </cell>
          <cell r="L311" t="str">
            <v>PC</v>
          </cell>
          <cell r="M311" t="str">
            <v>Mr. Mark Agno</v>
          </cell>
          <cell r="N311" t="str">
            <v>Maintenance Parts &amp; Supplies</v>
          </cell>
        </row>
        <row r="312">
          <cell r="E312" t="str">
            <v>JIG26-02-0053 JIG-MM-0051</v>
          </cell>
          <cell r="F312" t="str">
            <v>JIG</v>
          </cell>
          <cell r="G312" t="str">
            <v>ENDMILL</v>
          </cell>
          <cell r="H312" t="str">
            <v>1 MM</v>
          </cell>
          <cell r="I312" t="str">
            <v>SHOPEE</v>
          </cell>
          <cell r="J312" t="str">
            <v>PHP</v>
          </cell>
          <cell r="K312">
            <v>271</v>
          </cell>
          <cell r="L312" t="str">
            <v>PC</v>
          </cell>
          <cell r="M312" t="str">
            <v>Ms. Carla</v>
          </cell>
          <cell r="N312" t="str">
            <v>Maintenance Parts &amp; Supplies</v>
          </cell>
        </row>
        <row r="313">
          <cell r="E313" t="str">
            <v>JIG26-02-0053 JIG-MM-0052</v>
          </cell>
          <cell r="F313" t="str">
            <v>JIG</v>
          </cell>
          <cell r="G313" t="str">
            <v>ENDMILL</v>
          </cell>
          <cell r="H313" t="str">
            <v>2.5 MM</v>
          </cell>
          <cell r="I313" t="str">
            <v>SHOPEE</v>
          </cell>
          <cell r="J313" t="str">
            <v>PHP</v>
          </cell>
          <cell r="K313">
            <v>271</v>
          </cell>
          <cell r="L313" t="str">
            <v>PC</v>
          </cell>
          <cell r="M313" t="str">
            <v>Ms. Carla</v>
          </cell>
          <cell r="N313" t="str">
            <v>Maintenance Parts &amp; Supplies</v>
          </cell>
        </row>
        <row r="314">
          <cell r="E314" t="str">
            <v>JIG26-02-0054 COMMON MATERIALS1</v>
          </cell>
          <cell r="F314" t="str">
            <v>JIG</v>
          </cell>
          <cell r="G314" t="str">
            <v>CABLE TRAY</v>
          </cell>
          <cell r="H314" t="str">
            <v>1 X 2</v>
          </cell>
          <cell r="I314" t="str">
            <v>HARMONY</v>
          </cell>
          <cell r="J314" t="str">
            <v>PHP</v>
          </cell>
          <cell r="K314">
            <v>265</v>
          </cell>
          <cell r="L314" t="str">
            <v>PC</v>
          </cell>
          <cell r="M314" t="str">
            <v>Mr. Mark Agno</v>
          </cell>
          <cell r="N314" t="str">
            <v>Maintenance Parts &amp; Supplies</v>
          </cell>
        </row>
        <row r="315">
          <cell r="E315" t="str">
            <v>JIG26-02-0055 BASEPIN ABD1</v>
          </cell>
          <cell r="F315" t="str">
            <v>JIG</v>
          </cell>
          <cell r="G315" t="str">
            <v>BASEPIN</v>
          </cell>
          <cell r="H315" t="str">
            <v>BM04-GHS-TBT</v>
          </cell>
          <cell r="I315" t="str">
            <v>ANY</v>
          </cell>
          <cell r="J315" t="str">
            <v>PHP</v>
          </cell>
          <cell r="K315">
            <v>68.5</v>
          </cell>
          <cell r="L315" t="str">
            <v>PC</v>
          </cell>
          <cell r="M315" t="str">
            <v>Ms. Shamella Planillo</v>
          </cell>
          <cell r="N315" t="str">
            <v>Maintenance Parts &amp; Supplies</v>
          </cell>
        </row>
        <row r="316">
          <cell r="E316" t="str">
            <v>JIG26-02-0056 COMMON MATERIALS1</v>
          </cell>
          <cell r="G316" t="str">
            <v>MAGNET</v>
          </cell>
          <cell r="H316" t="str">
            <v>10MM X 10MM X 2MM</v>
          </cell>
          <cell r="I316" t="str">
            <v>ANY</v>
          </cell>
          <cell r="J316" t="str">
            <v>PHP</v>
          </cell>
          <cell r="K316">
            <v>16</v>
          </cell>
          <cell r="L316" t="str">
            <v>PC</v>
          </cell>
          <cell r="M316" t="str">
            <v>Ms. Carla</v>
          </cell>
          <cell r="N316" t="str">
            <v>Maintenance Parts &amp; Supplies</v>
          </cell>
        </row>
        <row r="317">
          <cell r="E317" t="str">
            <v>JIG26-02-0057 COMMON MATERIALS1</v>
          </cell>
          <cell r="G317" t="str">
            <v xml:space="preserve">RESISTOR </v>
          </cell>
          <cell r="H317" t="str">
            <v>10K Ω</v>
          </cell>
          <cell r="I317" t="str">
            <v>ANY</v>
          </cell>
          <cell r="J317" t="str">
            <v>PHP</v>
          </cell>
          <cell r="K317">
            <v>2</v>
          </cell>
          <cell r="L317" t="str">
            <v>PC</v>
          </cell>
          <cell r="M317" t="str">
            <v>Mr. Mark Agno</v>
          </cell>
          <cell r="N317" t="str">
            <v>Maintenance Parts &amp; Supplies</v>
          </cell>
        </row>
        <row r="318">
          <cell r="E318" t="str">
            <v>JIG26-02-0058 TRP AOD1</v>
          </cell>
          <cell r="F318" t="str">
            <v>JIG</v>
          </cell>
          <cell r="G318" t="str">
            <v>HDMI VGA USB CAMERA</v>
          </cell>
          <cell r="H318" t="str">
            <v>48MP 4K YIZHAN</v>
          </cell>
          <cell r="I318" t="str">
            <v>LAZADA</v>
          </cell>
          <cell r="J318" t="str">
            <v>PHP</v>
          </cell>
          <cell r="K318">
            <v>7599</v>
          </cell>
          <cell r="L318" t="str">
            <v>PC</v>
          </cell>
          <cell r="M318" t="str">
            <v>Ms. Carla</v>
          </cell>
          <cell r="N318" t="str">
            <v>Maintenance Parts &amp; Supplies</v>
          </cell>
        </row>
        <row r="319">
          <cell r="E319" t="str">
            <v>JIG26-02-0058 TRP AOD2</v>
          </cell>
          <cell r="F319" t="str">
            <v>JIG</v>
          </cell>
          <cell r="G319" t="str">
            <v>JETSON ORIN NANO</v>
          </cell>
          <cell r="H319" t="str">
            <v>SUPER AI</v>
          </cell>
          <cell r="I319" t="str">
            <v>ANY</v>
          </cell>
          <cell r="J319" t="str">
            <v>PHP</v>
          </cell>
          <cell r="K319">
            <v>29990</v>
          </cell>
          <cell r="L319" t="str">
            <v>PC</v>
          </cell>
          <cell r="M319" t="str">
            <v>Ms. Carla</v>
          </cell>
          <cell r="N319" t="str">
            <v>Maintenance Parts &amp; Supplies</v>
          </cell>
        </row>
        <row r="320">
          <cell r="E320" t="str">
            <v>JIG26-02-0058 TRP AOD3</v>
          </cell>
          <cell r="F320" t="str">
            <v>JIG</v>
          </cell>
          <cell r="G320" t="str">
            <v>MONITOR</v>
          </cell>
          <cell r="H320" t="str">
            <v>AOC 20B2HM2 21.5"</v>
          </cell>
          <cell r="I320" t="str">
            <v>ANY</v>
          </cell>
          <cell r="J320" t="str">
            <v>PHP</v>
          </cell>
          <cell r="K320">
            <v>4500</v>
          </cell>
          <cell r="L320" t="str">
            <v>PC</v>
          </cell>
          <cell r="M320" t="str">
            <v>Ms. Carla</v>
          </cell>
          <cell r="N320" t="str">
            <v>Maintenance Parts &amp; Supplies</v>
          </cell>
        </row>
        <row r="321">
          <cell r="E321" t="str">
            <v>JIG26-02-0058 TRP AOD4</v>
          </cell>
          <cell r="F321" t="str">
            <v>JIG</v>
          </cell>
          <cell r="G321" t="str">
            <v>500GB NVMe SSD</v>
          </cell>
          <cell r="H321" t="str">
            <v>NVME SSD</v>
          </cell>
          <cell r="I321" t="str">
            <v>SHOPEE</v>
          </cell>
          <cell r="J321" t="str">
            <v>PHP</v>
          </cell>
          <cell r="K321">
            <v>3990</v>
          </cell>
          <cell r="L321" t="str">
            <v>PC</v>
          </cell>
          <cell r="M321" t="str">
            <v>Ms. Carla</v>
          </cell>
          <cell r="N321" t="str">
            <v>Maintenance Parts &amp; Supplies</v>
          </cell>
        </row>
        <row r="322">
          <cell r="E322" t="str">
            <v>JIG26-02-0059 COMMON MATERIALS1</v>
          </cell>
          <cell r="F322" t="str">
            <v>JIG</v>
          </cell>
          <cell r="G322" t="str">
            <v>FUSE GLASS</v>
          </cell>
          <cell r="H322" t="str">
            <v>0.5AMP/20MM</v>
          </cell>
          <cell r="I322" t="str">
            <v>ANY</v>
          </cell>
          <cell r="J322" t="str">
            <v>PHP</v>
          </cell>
          <cell r="K322">
            <v>4</v>
          </cell>
          <cell r="L322" t="str">
            <v>PC</v>
          </cell>
          <cell r="M322" t="str">
            <v>Mr. Mark Agno</v>
          </cell>
          <cell r="N322" t="str">
            <v>Maintenance Parts &amp; Supplies</v>
          </cell>
        </row>
        <row r="323">
          <cell r="E323" t="str">
            <v>JIG26-02-0060 HIUK KOITO AUD1</v>
          </cell>
          <cell r="F323" t="str">
            <v>JIG</v>
          </cell>
          <cell r="G323" t="str">
            <v>BINDER CUTTER</v>
          </cell>
          <cell r="H323" t="str">
            <v>WITH SENSOR</v>
          </cell>
          <cell r="I323" t="str">
            <v>NESAS</v>
          </cell>
          <cell r="J323" t="str">
            <v>PHP</v>
          </cell>
          <cell r="K323">
            <v>21214</v>
          </cell>
          <cell r="L323" t="str">
            <v>PC</v>
          </cell>
          <cell r="M323" t="str">
            <v>Mr. Mark Agno</v>
          </cell>
          <cell r="N323" t="str">
            <v>Maintenance Parts &amp; Supplies</v>
          </cell>
        </row>
        <row r="324">
          <cell r="E324" t="str">
            <v>JIG26-02-0061 SEMITEC AED1</v>
          </cell>
          <cell r="G324" t="str">
            <v>PANASONIC PLC</v>
          </cell>
          <cell r="H324" t="str">
            <v>BRAND NEW</v>
          </cell>
          <cell r="I324" t="str">
            <v>NESAS</v>
          </cell>
          <cell r="J324" t="str">
            <v>PHP</v>
          </cell>
          <cell r="K324">
            <v>9801</v>
          </cell>
          <cell r="L324" t="str">
            <v>PC</v>
          </cell>
          <cell r="M324" t="str">
            <v>Mr. Mark Agno</v>
          </cell>
          <cell r="N324" t="str">
            <v>Maintenance Parts &amp; Supplies</v>
          </cell>
        </row>
        <row r="325">
          <cell r="E325" t="str">
            <v>JIG26-02-0061 SEMITEC AED2</v>
          </cell>
          <cell r="G325" t="str">
            <v>EXPANSION UNIT</v>
          </cell>
          <cell r="H325" t="str">
            <v>FP0R-E32</v>
          </cell>
          <cell r="I325" t="str">
            <v>ANY</v>
          </cell>
          <cell r="J325" t="str">
            <v>PHP</v>
          </cell>
          <cell r="K325">
            <v>9400</v>
          </cell>
          <cell r="L325" t="str">
            <v>PC</v>
          </cell>
          <cell r="M325" t="str">
            <v>Mr. Mark Agno</v>
          </cell>
          <cell r="N325" t="str">
            <v>Maintenance Parts &amp; Supplies</v>
          </cell>
        </row>
        <row r="326">
          <cell r="E326" t="str">
            <v>JIG26-02-0061 SEMITEC AED3</v>
          </cell>
          <cell r="G326" t="str">
            <v xml:space="preserve">SWITCHING INDUSTRIAL POWER SUPPLY </v>
          </cell>
          <cell r="H326" t="str">
            <v>24V/2A</v>
          </cell>
          <cell r="I326" t="str">
            <v>ANY</v>
          </cell>
          <cell r="J326" t="str">
            <v>PHP</v>
          </cell>
          <cell r="K326">
            <v>425</v>
          </cell>
          <cell r="L326" t="str">
            <v>PC</v>
          </cell>
          <cell r="M326" t="str">
            <v>Mr. Mark Agno</v>
          </cell>
          <cell r="N326" t="str">
            <v>Maintenance Parts &amp; Supplies</v>
          </cell>
        </row>
        <row r="327">
          <cell r="E327" t="str">
            <v>JIG26-02-0061 SEMITEC AED4</v>
          </cell>
          <cell r="F327" t="str">
            <v>JIG</v>
          </cell>
          <cell r="G327" t="str">
            <v>RELAY MODULE</v>
          </cell>
          <cell r="H327" t="str">
            <v>24V 8CHANNEL</v>
          </cell>
          <cell r="I327" t="str">
            <v>ANY</v>
          </cell>
          <cell r="J327" t="str">
            <v>PHP</v>
          </cell>
          <cell r="K327">
            <v>345.29</v>
          </cell>
          <cell r="L327" t="str">
            <v>PC</v>
          </cell>
          <cell r="M327" t="str">
            <v>Mr. Mark Agno</v>
          </cell>
          <cell r="N327" t="str">
            <v>Maintenance Parts &amp; Supplies</v>
          </cell>
        </row>
        <row r="328">
          <cell r="E328" t="str">
            <v>JIG26-02-0061 SEMITEC AED5</v>
          </cell>
          <cell r="G328" t="str">
            <v>WAY CHANNEL RELAY MODULE HIGH LOW LEVEL W/ OPTO COUPLER</v>
          </cell>
          <cell r="H328" t="str">
            <v>5V 2 CHANNEL</v>
          </cell>
          <cell r="I328" t="str">
            <v>LAZADA</v>
          </cell>
          <cell r="J328" t="str">
            <v>PHP</v>
          </cell>
          <cell r="K328">
            <v>87</v>
          </cell>
          <cell r="L328" t="str">
            <v>PC</v>
          </cell>
          <cell r="M328" t="str">
            <v>Mr. Mark Agno</v>
          </cell>
          <cell r="N328" t="str">
            <v>Maintenance Parts &amp; Supplies</v>
          </cell>
        </row>
        <row r="329">
          <cell r="E329" t="str">
            <v>JIG26-02-0061 SEMITEC AED6</v>
          </cell>
          <cell r="G329" t="str">
            <v>TRANSISTOR</v>
          </cell>
          <cell r="H329" t="str">
            <v>C1815</v>
          </cell>
          <cell r="I329" t="str">
            <v>ANY</v>
          </cell>
          <cell r="J329" t="str">
            <v>PHP</v>
          </cell>
          <cell r="K329">
            <v>19</v>
          </cell>
          <cell r="L329" t="str">
            <v>PC</v>
          </cell>
          <cell r="M329" t="str">
            <v>Mr. Mark Agno</v>
          </cell>
          <cell r="N329" t="str">
            <v>Maintenance Parts &amp; Supplies</v>
          </cell>
        </row>
        <row r="330">
          <cell r="E330" t="str">
            <v>JIG26-02-0061 SEMITEC AED7</v>
          </cell>
          <cell r="G330" t="str">
            <v xml:space="preserve">RESISTOR </v>
          </cell>
          <cell r="H330" t="str">
            <v>10K Ω</v>
          </cell>
          <cell r="I330" t="str">
            <v>ANY</v>
          </cell>
          <cell r="J330" t="str">
            <v>PHP</v>
          </cell>
          <cell r="K330">
            <v>2</v>
          </cell>
          <cell r="L330" t="str">
            <v>PC</v>
          </cell>
          <cell r="M330" t="str">
            <v>Mr. Mark Agno</v>
          </cell>
          <cell r="N330" t="str">
            <v>Maintenance Parts &amp; Supplies</v>
          </cell>
        </row>
        <row r="331">
          <cell r="E331" t="str">
            <v>JIG26-02-0061 SEMITEC AED8</v>
          </cell>
          <cell r="F331" t="str">
            <v>JIG</v>
          </cell>
          <cell r="G331" t="str">
            <v>SOLENOID VALVE 24V</v>
          </cell>
          <cell r="H331" t="str">
            <v>SY3120-5LZD-M5</v>
          </cell>
          <cell r="I331" t="str">
            <v>ANY</v>
          </cell>
          <cell r="J331" t="str">
            <v>PHP</v>
          </cell>
          <cell r="K331">
            <v>1500</v>
          </cell>
          <cell r="L331" t="str">
            <v>PC</v>
          </cell>
          <cell r="M331" t="str">
            <v>Mr. Mark Agno</v>
          </cell>
          <cell r="N331" t="str">
            <v>Maintenance Parts &amp; Supplies</v>
          </cell>
        </row>
        <row r="332">
          <cell r="E332" t="str">
            <v>JIG26-02-0061 SEMITEC AED9</v>
          </cell>
          <cell r="F332" t="str">
            <v>JIG</v>
          </cell>
          <cell r="G332" t="str">
            <v>FITTINGS</v>
          </cell>
          <cell r="H332" t="str">
            <v>KQ2S04-M5A</v>
          </cell>
          <cell r="I332" t="str">
            <v>ANY</v>
          </cell>
          <cell r="J332" t="str">
            <v>PHP</v>
          </cell>
          <cell r="K332">
            <v>184</v>
          </cell>
          <cell r="L332" t="str">
            <v>PC</v>
          </cell>
          <cell r="M332" t="str">
            <v>Mr. Mark Agno</v>
          </cell>
          <cell r="N332" t="str">
            <v>Maintenance Parts &amp; Supplies</v>
          </cell>
        </row>
        <row r="333">
          <cell r="E333" t="str">
            <v>JIG26-02-0061 SEMITEC AED10</v>
          </cell>
          <cell r="G333" t="str">
            <v>FITTINGS</v>
          </cell>
          <cell r="H333" t="str">
            <v>AS1201F-M3-04A</v>
          </cell>
          <cell r="I333" t="str">
            <v>ANY</v>
          </cell>
          <cell r="J333" t="str">
            <v>PHP</v>
          </cell>
          <cell r="K333">
            <v>275</v>
          </cell>
          <cell r="L333" t="str">
            <v>PC</v>
          </cell>
          <cell r="M333" t="str">
            <v>Mr. Mark Agno</v>
          </cell>
          <cell r="N333" t="str">
            <v>Maintenance Parts &amp; Supplies</v>
          </cell>
        </row>
        <row r="334">
          <cell r="E334" t="str">
            <v>JIG26-02-0061 SEMITEC AED11</v>
          </cell>
          <cell r="G334" t="str">
            <v>CYLINDER</v>
          </cell>
          <cell r="H334" t="str">
            <v>CUJB10-15DM</v>
          </cell>
          <cell r="I334" t="str">
            <v>ANY</v>
          </cell>
          <cell r="J334" t="str">
            <v>PHP</v>
          </cell>
          <cell r="K334">
            <v>1400</v>
          </cell>
          <cell r="L334" t="str">
            <v>PC</v>
          </cell>
          <cell r="M334" t="str">
            <v>Mr. Mark Agno</v>
          </cell>
          <cell r="N334" t="str">
            <v>Maintenance Parts &amp; Supplies</v>
          </cell>
        </row>
        <row r="335">
          <cell r="E335" t="str">
            <v>JIG26-02-0061 SEMITEC AED12</v>
          </cell>
          <cell r="G335" t="str">
            <v>SPLITTER</v>
          </cell>
          <cell r="H335" t="str">
            <v>KQ2U04-00A</v>
          </cell>
          <cell r="I335" t="str">
            <v>ANY</v>
          </cell>
          <cell r="J335" t="str">
            <v>PHP</v>
          </cell>
          <cell r="K335">
            <v>140</v>
          </cell>
          <cell r="L335" t="str">
            <v>PC</v>
          </cell>
          <cell r="M335" t="str">
            <v>Mr. Mark Agno</v>
          </cell>
          <cell r="N335" t="str">
            <v>Maintenance Parts &amp; Supplies</v>
          </cell>
        </row>
        <row r="336">
          <cell r="E336" t="str">
            <v>JIG26-02-0061 SEMITEC AED13</v>
          </cell>
          <cell r="G336" t="str">
            <v>MAGNETIC SENSOR (REED SWITCH)</v>
          </cell>
          <cell r="H336" t="str">
            <v>PS-3150</v>
          </cell>
          <cell r="I336" t="str">
            <v>NESAS</v>
          </cell>
          <cell r="J336" t="str">
            <v>PHP</v>
          </cell>
          <cell r="K336">
            <v>130</v>
          </cell>
          <cell r="L336" t="str">
            <v>PC</v>
          </cell>
          <cell r="M336" t="str">
            <v>Mr. Mark Agno</v>
          </cell>
          <cell r="N336" t="str">
            <v>Maintenance Parts &amp; Supplies</v>
          </cell>
        </row>
        <row r="337">
          <cell r="E337" t="str">
            <v>JIG26-02-0061 SEMITEC AED14</v>
          </cell>
          <cell r="G337" t="str">
            <v>MINI BUZZER</v>
          </cell>
          <cell r="H337" t="str">
            <v>-</v>
          </cell>
          <cell r="I337" t="str">
            <v>ANY</v>
          </cell>
          <cell r="J337" t="str">
            <v>PHP</v>
          </cell>
          <cell r="K337">
            <v>55</v>
          </cell>
          <cell r="L337" t="str">
            <v>PC</v>
          </cell>
          <cell r="M337" t="str">
            <v>Mr. Mark Agno</v>
          </cell>
          <cell r="N337" t="str">
            <v>Maintenance Parts &amp; Supplies</v>
          </cell>
        </row>
        <row r="338">
          <cell r="E338" t="str">
            <v>JIG26-02-0062 OFFICE SUPPLY1</v>
          </cell>
          <cell r="F338" t="str">
            <v>JIG OFFICE SUPPLIES</v>
          </cell>
          <cell r="G338" t="str">
            <v>TONER</v>
          </cell>
          <cell r="H338" t="str">
            <v>55A</v>
          </cell>
          <cell r="I338" t="str">
            <v>ANY</v>
          </cell>
          <cell r="J338" t="str">
            <v>PHP</v>
          </cell>
          <cell r="K338">
            <v>2500</v>
          </cell>
          <cell r="L338" t="str">
            <v>PC</v>
          </cell>
          <cell r="M338" t="str">
            <v>Mr. Mark Agno</v>
          </cell>
          <cell r="N338" t="str">
            <v>OSE</v>
          </cell>
        </row>
        <row r="339">
          <cell r="E339" t="str">
            <v>JIG26-02-0063 COMMON MATERIALS1</v>
          </cell>
          <cell r="F339" t="str">
            <v>JIG</v>
          </cell>
          <cell r="G339" t="str">
            <v>T-SLOT NUT</v>
          </cell>
          <cell r="H339" t="str">
            <v xml:space="preserve">30# M6 </v>
          </cell>
          <cell r="I339" t="str">
            <v>SHOPEE</v>
          </cell>
          <cell r="J339" t="str">
            <v>PHP</v>
          </cell>
          <cell r="K339">
            <v>132</v>
          </cell>
          <cell r="L339" t="str">
            <v>PACK</v>
          </cell>
          <cell r="M339" t="str">
            <v>Ms. Carla</v>
          </cell>
          <cell r="N339" t="str">
            <v>Maintenance Parts &amp; Supplies</v>
          </cell>
        </row>
        <row r="340">
          <cell r="E340" t="str">
            <v>JIG26-02-0064 COMMON MATERIALS1</v>
          </cell>
          <cell r="F340" t="str">
            <v>JIG</v>
          </cell>
          <cell r="G340" t="str">
            <v>CAPACITOR</v>
          </cell>
          <cell r="H340">
            <v>104</v>
          </cell>
          <cell r="I340" t="str">
            <v>ANY</v>
          </cell>
          <cell r="J340" t="str">
            <v>PHP</v>
          </cell>
          <cell r="K340">
            <v>5</v>
          </cell>
          <cell r="L340" t="str">
            <v>PC</v>
          </cell>
          <cell r="M340" t="str">
            <v>Mr. Mark Agno</v>
          </cell>
          <cell r="N340" t="str">
            <v>Maintenance Parts &amp; Supplies</v>
          </cell>
        </row>
        <row r="341">
          <cell r="E341" t="str">
            <v>JIG26-02-0065 JIG-SM-0041</v>
          </cell>
          <cell r="F341" t="str">
            <v>JIG</v>
          </cell>
          <cell r="G341" t="str">
            <v>SANDING BELT</v>
          </cell>
          <cell r="H341" t="str">
            <v>4" X  36" #120</v>
          </cell>
          <cell r="I341" t="str">
            <v>ANY</v>
          </cell>
          <cell r="J341" t="str">
            <v>PHP</v>
          </cell>
          <cell r="K341">
            <v>350</v>
          </cell>
          <cell r="L341" t="str">
            <v>PC</v>
          </cell>
          <cell r="M341" t="str">
            <v>Mr. Mark Agno</v>
          </cell>
          <cell r="N341" t="str">
            <v>Maintenance Parts &amp; Supplies</v>
          </cell>
        </row>
        <row r="342">
          <cell r="E342" t="str">
            <v>JIG26-02-0066 COMMON MATERIALS1</v>
          </cell>
          <cell r="F342" t="str">
            <v>JIG</v>
          </cell>
          <cell r="G342" t="str">
            <v>OMRON SWITCH</v>
          </cell>
          <cell r="H342" t="str">
            <v>SS-01GL</v>
          </cell>
          <cell r="I342" t="str">
            <v>ANY</v>
          </cell>
          <cell r="J342" t="str">
            <v>PHP</v>
          </cell>
          <cell r="K342">
            <v>36.1</v>
          </cell>
          <cell r="L342" t="str">
            <v>PC</v>
          </cell>
          <cell r="M342" t="str">
            <v>Mr. Mark Agno</v>
          </cell>
          <cell r="N342" t="str">
            <v>Maintenance Parts &amp; Supplies</v>
          </cell>
        </row>
        <row r="343">
          <cell r="E343" t="str">
            <v>JIG26-02-0066 COMMON MATERIALS2</v>
          </cell>
          <cell r="F343" t="str">
            <v>JIG</v>
          </cell>
          <cell r="G343" t="str">
            <v>SWITCH</v>
          </cell>
          <cell r="H343" t="str">
            <v>ON / OFF</v>
          </cell>
          <cell r="I343" t="str">
            <v>ANY</v>
          </cell>
          <cell r="J343" t="str">
            <v>PHP</v>
          </cell>
          <cell r="K343">
            <v>25</v>
          </cell>
          <cell r="L343" t="str">
            <v>PC</v>
          </cell>
          <cell r="M343" t="str">
            <v>Mr. Mark Agno</v>
          </cell>
          <cell r="N343" t="str">
            <v>Maintenance Parts &amp; Supplies</v>
          </cell>
        </row>
        <row r="344">
          <cell r="E344" t="str">
            <v>JIG26-02-0067 COMMON MATERIALS1</v>
          </cell>
          <cell r="F344" t="str">
            <v>JIG</v>
          </cell>
          <cell r="G344" t="str">
            <v>LINEAR GUIDE</v>
          </cell>
          <cell r="H344" t="str">
            <v>E-GMLG9-75</v>
          </cell>
          <cell r="I344" t="str">
            <v>RASO</v>
          </cell>
          <cell r="J344" t="str">
            <v>PHP</v>
          </cell>
          <cell r="K344">
            <v>540</v>
          </cell>
          <cell r="L344" t="str">
            <v>PC</v>
          </cell>
          <cell r="M344" t="str">
            <v>Mr. Mark Agno</v>
          </cell>
          <cell r="N344" t="str">
            <v>Maintenance Parts &amp; Supplies</v>
          </cell>
        </row>
        <row r="345">
          <cell r="E345" t="str">
            <v>JIG26-02-0068 COMMON MATERIALS1</v>
          </cell>
          <cell r="G345" t="str">
            <v>PARACORD</v>
          </cell>
          <cell r="H345" t="str">
            <v>2MMX8METERS BLACK</v>
          </cell>
          <cell r="I345" t="str">
            <v>SHOPEE</v>
          </cell>
          <cell r="J345" t="str">
            <v>PHP</v>
          </cell>
          <cell r="K345">
            <v>51</v>
          </cell>
          <cell r="L345" t="str">
            <v>PC</v>
          </cell>
          <cell r="M345" t="str">
            <v>Ms. Carla</v>
          </cell>
          <cell r="N345" t="str">
            <v>Maintenance Parts &amp; Supplies</v>
          </cell>
        </row>
        <row r="346">
          <cell r="E346" t="str">
            <v>JIG26-02-0069 COMMON MATERIALS1</v>
          </cell>
          <cell r="G346" t="str">
            <v xml:space="preserve">SWITCHING INDUSTRIAL POWER SUPPLY </v>
          </cell>
          <cell r="H346" t="str">
            <v>24V/2A</v>
          </cell>
          <cell r="I346" t="str">
            <v>ANY</v>
          </cell>
          <cell r="J346" t="str">
            <v>PHP</v>
          </cell>
          <cell r="K346">
            <v>425</v>
          </cell>
          <cell r="L346" t="str">
            <v>PC</v>
          </cell>
          <cell r="M346" t="str">
            <v>Mr. Mark Agno</v>
          </cell>
          <cell r="N346" t="str">
            <v>Maintenance Parts &amp; Supplies</v>
          </cell>
        </row>
        <row r="347">
          <cell r="E347" t="str">
            <v>JIG26-02-0070 COMMON MATERIALS1</v>
          </cell>
          <cell r="G347" t="str">
            <v>PROBE PIN</v>
          </cell>
          <cell r="H347" t="str">
            <v>FD075D064/0.4N</v>
          </cell>
          <cell r="I347" t="str">
            <v>CROSSSEEKER</v>
          </cell>
          <cell r="J347" t="str">
            <v>$</v>
          </cell>
          <cell r="K347">
            <v>3.08</v>
          </cell>
          <cell r="L347" t="str">
            <v>PC</v>
          </cell>
          <cell r="M347" t="str">
            <v>Ms. Carla</v>
          </cell>
          <cell r="N347" t="str">
            <v>Maintenance Parts &amp; Supplies</v>
          </cell>
        </row>
        <row r="348">
          <cell r="E348" t="str">
            <v>JIG26-02-0071 COMMON MATERIALS1</v>
          </cell>
          <cell r="F348" t="str">
            <v>JIG</v>
          </cell>
          <cell r="G348" t="str">
            <v>ALUMINUM PROFILE</v>
          </cell>
          <cell r="H348" t="str">
            <v>9FT V-SLOT 30X30</v>
          </cell>
          <cell r="I348" t="str">
            <v>VLCR</v>
          </cell>
          <cell r="J348" t="str">
            <v>PHP</v>
          </cell>
          <cell r="K348">
            <v>1687</v>
          </cell>
          <cell r="L348" t="str">
            <v>PC</v>
          </cell>
          <cell r="M348" t="str">
            <v>Mr. Mark Agno</v>
          </cell>
          <cell r="N348" t="str">
            <v>Maintenance Parts &amp; Supplies</v>
          </cell>
        </row>
        <row r="349">
          <cell r="E349" t="str">
            <v>JIG26-02-0074 COMMON MATERIALS1</v>
          </cell>
          <cell r="G349" t="str">
            <v>ALUMINUM PROFILE</v>
          </cell>
          <cell r="H349" t="str">
            <v xml:space="preserve">6FT 20X20 </v>
          </cell>
          <cell r="I349" t="str">
            <v>VLCR</v>
          </cell>
          <cell r="J349" t="str">
            <v>PHP</v>
          </cell>
          <cell r="K349">
            <v>598</v>
          </cell>
          <cell r="L349" t="str">
            <v>PC</v>
          </cell>
          <cell r="M349" t="str">
            <v>Mr. Mark Agno</v>
          </cell>
          <cell r="N349" t="str">
            <v>Maintenance Parts &amp; Supplies</v>
          </cell>
        </row>
        <row r="350">
          <cell r="E350" t="str">
            <v>JIG26-02-0072 COMMON MATERIALS1</v>
          </cell>
          <cell r="F350" t="str">
            <v>JIG</v>
          </cell>
          <cell r="G350" t="str">
            <v>CREALITY HYPER PLA (WHITE)</v>
          </cell>
          <cell r="H350" t="str">
            <v>FILAMENT 1.75MM</v>
          </cell>
          <cell r="I350" t="str">
            <v>ANY</v>
          </cell>
          <cell r="J350" t="str">
            <v>PHP</v>
          </cell>
          <cell r="K350">
            <v>1600</v>
          </cell>
          <cell r="L350" t="str">
            <v>PC</v>
          </cell>
          <cell r="M350" t="str">
            <v>Mr. Mark Agno</v>
          </cell>
          <cell r="N350" t="str">
            <v>Maintenance Parts &amp; Supplies</v>
          </cell>
        </row>
        <row r="351">
          <cell r="E351" t="str">
            <v>JIG26-02-0073 COMMON MATERIALS1</v>
          </cell>
          <cell r="F351" t="str">
            <v>JIG</v>
          </cell>
          <cell r="G351" t="str">
            <v>LED YELLOW (SUPER BRIGHT)</v>
          </cell>
          <cell r="H351" t="str">
            <v>3MM</v>
          </cell>
          <cell r="I351" t="str">
            <v>ANY</v>
          </cell>
          <cell r="J351" t="str">
            <v>PHP</v>
          </cell>
          <cell r="K351">
            <v>5</v>
          </cell>
          <cell r="L351" t="str">
            <v>PC</v>
          </cell>
          <cell r="M351" t="str">
            <v>Mr. Mark Agno</v>
          </cell>
          <cell r="N351" t="str">
            <v>Maintenance Parts &amp; Supplies</v>
          </cell>
        </row>
        <row r="352">
          <cell r="E352" t="str">
            <v>JIG26-02-0073 COMMON MATERIALS2</v>
          </cell>
          <cell r="F352" t="str">
            <v>JIG</v>
          </cell>
          <cell r="G352" t="str">
            <v>LED BLUE (SUPER BRIGHT)</v>
          </cell>
          <cell r="H352" t="str">
            <v>3MM</v>
          </cell>
          <cell r="I352" t="str">
            <v>ANY</v>
          </cell>
          <cell r="J352" t="str">
            <v>PHP</v>
          </cell>
          <cell r="K352">
            <v>5</v>
          </cell>
          <cell r="L352" t="str">
            <v>PC</v>
          </cell>
          <cell r="M352" t="str">
            <v>Mr. Mark Agno</v>
          </cell>
          <cell r="N352" t="str">
            <v>Maintenance Parts &amp; Supplies</v>
          </cell>
        </row>
        <row r="353">
          <cell r="E353" t="str">
            <v>JIG26-02-0073 COMMON MATERIALS3</v>
          </cell>
          <cell r="F353" t="str">
            <v>JIG</v>
          </cell>
          <cell r="G353" t="str">
            <v>LED RED (SUPER BRIGHT)</v>
          </cell>
          <cell r="H353" t="str">
            <v>3MM</v>
          </cell>
          <cell r="I353" t="str">
            <v>ANY</v>
          </cell>
          <cell r="J353" t="str">
            <v>PHP</v>
          </cell>
          <cell r="K353">
            <v>5</v>
          </cell>
          <cell r="L353" t="str">
            <v>PC</v>
          </cell>
          <cell r="M353" t="str">
            <v>Mr. Mark Agno</v>
          </cell>
          <cell r="N353" t="str">
            <v>Maintenance Parts &amp; Supplies</v>
          </cell>
        </row>
        <row r="354">
          <cell r="E354" t="str">
            <v>JIG26-02-0075 COMMON MATERIALS1</v>
          </cell>
          <cell r="F354" t="str">
            <v>JIG</v>
          </cell>
          <cell r="G354" t="str">
            <v>3 WAY SWITCH</v>
          </cell>
          <cell r="H354" t="str">
            <v>KW8</v>
          </cell>
          <cell r="I354" t="str">
            <v>ANY</v>
          </cell>
          <cell r="J354" t="str">
            <v>PHP</v>
          </cell>
          <cell r="K354">
            <v>65</v>
          </cell>
          <cell r="L354" t="str">
            <v>PC</v>
          </cell>
          <cell r="M354" t="str">
            <v>Mr. Mark Agno</v>
          </cell>
          <cell r="N354" t="str">
            <v>Maintenance Parts &amp; Supplies</v>
          </cell>
        </row>
        <row r="355">
          <cell r="E355" t="str">
            <v>JIG26-02-0076 SPRING MAKER -SMM-0141</v>
          </cell>
          <cell r="F355" t="str">
            <v>JIG</v>
          </cell>
          <cell r="G355" t="str">
            <v>STAINLESS STEEL SPRING STEEL WIRE</v>
          </cell>
          <cell r="H355" t="str">
            <v xml:space="preserve">.6 MM </v>
          </cell>
          <cell r="I355" t="str">
            <v>LAZADA</v>
          </cell>
          <cell r="J355" t="str">
            <v>PHP</v>
          </cell>
          <cell r="K355">
            <v>920</v>
          </cell>
          <cell r="L355" t="str">
            <v>ROLL</v>
          </cell>
          <cell r="M355" t="str">
            <v>Mr. Mark Agno</v>
          </cell>
          <cell r="N355" t="str">
            <v>Maintenance Parts &amp; Supplies</v>
          </cell>
        </row>
        <row r="356">
          <cell r="E356" t="str">
            <v>JIG26-02-0076 SPRING MAKER -SMM-0142</v>
          </cell>
          <cell r="F356" t="str">
            <v>JIG</v>
          </cell>
          <cell r="G356" t="str">
            <v>STAINLESS STEEL SPRING STEEL WIRE</v>
          </cell>
          <cell r="H356" t="str">
            <v>1.2 MM (110M_KG)</v>
          </cell>
          <cell r="I356" t="str">
            <v>LAZADA</v>
          </cell>
          <cell r="J356" t="str">
            <v>PHP</v>
          </cell>
          <cell r="K356">
            <v>1654.9</v>
          </cell>
          <cell r="L356" t="str">
            <v>ROLL</v>
          </cell>
          <cell r="M356" t="str">
            <v>Mr. Mark Agno</v>
          </cell>
          <cell r="N356" t="str">
            <v>Maintenance Parts &amp; Supplies</v>
          </cell>
        </row>
        <row r="357">
          <cell r="E357" t="str">
            <v>JIG26-02-0077 OFFICE SUPPLIES1</v>
          </cell>
          <cell r="G357" t="str">
            <v>LC TAPE CARTRIDGE</v>
          </cell>
          <cell r="H357" t="str">
            <v xml:space="preserve"> 12MM 1/2" BLACK ON WHITE</v>
          </cell>
          <cell r="I357" t="str">
            <v>ANY</v>
          </cell>
          <cell r="J357" t="str">
            <v>PHP</v>
          </cell>
          <cell r="K357">
            <v>440</v>
          </cell>
          <cell r="L357" t="str">
            <v>PC</v>
          </cell>
          <cell r="M357" t="str">
            <v>Mr. Mark Agno</v>
          </cell>
          <cell r="N357" t="str">
            <v>Office Supplies Expense Expense</v>
          </cell>
        </row>
        <row r="358">
          <cell r="E358" t="str">
            <v>JIG26-02-0076 DENSO AED1</v>
          </cell>
          <cell r="F358" t="str">
            <v>JIG</v>
          </cell>
          <cell r="G358" t="str">
            <v>HOLE SAW BIT</v>
          </cell>
          <cell r="H358" t="str">
            <v>38MM</v>
          </cell>
          <cell r="I358" t="str">
            <v>ANY</v>
          </cell>
          <cell r="J358" t="str">
            <v>PHP</v>
          </cell>
          <cell r="K358">
            <v>249</v>
          </cell>
          <cell r="L358" t="str">
            <v>SET</v>
          </cell>
          <cell r="M358" t="str">
            <v>Ms. Carla</v>
          </cell>
          <cell r="N358" t="str">
            <v>Maintenance Parts &amp; Supplies</v>
          </cell>
        </row>
        <row r="359">
          <cell r="E359" t="str">
            <v>JIG26-02-0077 DENSO AED1</v>
          </cell>
          <cell r="F359" t="str">
            <v>JIG</v>
          </cell>
          <cell r="G359" t="str">
            <v>ALUMINUM PROFILE</v>
          </cell>
          <cell r="H359" t="str">
            <v>9FT V-SLOT 30X30</v>
          </cell>
          <cell r="I359" t="str">
            <v>VLCR</v>
          </cell>
          <cell r="J359" t="str">
            <v>PHP</v>
          </cell>
          <cell r="K359">
            <v>1687</v>
          </cell>
          <cell r="L359" t="str">
            <v>PC</v>
          </cell>
          <cell r="M359" t="str">
            <v>Mr. Mark Agno</v>
          </cell>
          <cell r="N359" t="str">
            <v>Maintenance Parts &amp; Supplies</v>
          </cell>
        </row>
        <row r="360">
          <cell r="E360" t="str">
            <v>JIG26-02-0076 ZDJ-1001</v>
          </cell>
          <cell r="G360" t="str">
            <v>FIXED CABLE TIE MOLD</v>
          </cell>
          <cell r="H360" t="str">
            <v>ZDJ-100</v>
          </cell>
          <cell r="I360" t="str">
            <v>SHENZHEN</v>
          </cell>
          <cell r="J360" t="str">
            <v>Ұ</v>
          </cell>
          <cell r="K360">
            <v>8240</v>
          </cell>
          <cell r="L360" t="str">
            <v>PC</v>
          </cell>
          <cell r="M360" t="str">
            <v>Mr. Mark Agno</v>
          </cell>
          <cell r="N360" t="str">
            <v>Maintenance Parts &amp; Supplies</v>
          </cell>
        </row>
        <row r="361">
          <cell r="E361" t="str">
            <v>JIG26-02-0078 COMMON MATERIALS1</v>
          </cell>
          <cell r="G361" t="str">
            <v>TRANSISTOR</v>
          </cell>
          <cell r="H361" t="str">
            <v>2N5060</v>
          </cell>
          <cell r="I361" t="str">
            <v>ANY</v>
          </cell>
          <cell r="J361" t="str">
            <v>PHP</v>
          </cell>
          <cell r="K361">
            <v>19</v>
          </cell>
          <cell r="L361" t="str">
            <v>PC</v>
          </cell>
          <cell r="M361" t="str">
            <v>Mr. Mark Agno</v>
          </cell>
          <cell r="N361" t="str">
            <v>Maintenance Parts &amp; Supplies</v>
          </cell>
        </row>
        <row r="362">
          <cell r="E362" t="str">
            <v>JIG26-02-0078 COMMON MATERIALS2</v>
          </cell>
          <cell r="F362" t="str">
            <v>JIG</v>
          </cell>
          <cell r="G362" t="str">
            <v>RELAY</v>
          </cell>
          <cell r="H362" t="str">
            <v>24V/14PINS</v>
          </cell>
          <cell r="I362" t="str">
            <v>ANY</v>
          </cell>
          <cell r="J362" t="str">
            <v>PHP</v>
          </cell>
          <cell r="K362">
            <v>170</v>
          </cell>
          <cell r="L362" t="str">
            <v>PC</v>
          </cell>
          <cell r="M362" t="str">
            <v>Mr. Mark Agno</v>
          </cell>
          <cell r="N362" t="str">
            <v>Maintenance Parts &amp; Supplies</v>
          </cell>
        </row>
        <row r="363">
          <cell r="E363" t="str">
            <v>JIG26-02-0079 SEMITEC AED GE-18011A 1</v>
          </cell>
          <cell r="F363" t="str">
            <v>JIG</v>
          </cell>
          <cell r="G363" t="str">
            <v>AMPLIFIER WITH FIBER OPTIC</v>
          </cell>
          <cell r="H363" t="str">
            <v>PC1-NH</v>
          </cell>
          <cell r="I363" t="str">
            <v>AKUSENSE</v>
          </cell>
          <cell r="J363" t="str">
            <v>PHP</v>
          </cell>
          <cell r="K363">
            <v>3539.25</v>
          </cell>
          <cell r="L363" t="str">
            <v>PC</v>
          </cell>
          <cell r="M363" t="str">
            <v>Mr. Mark Agno</v>
          </cell>
          <cell r="N363" t="str">
            <v>Maintenance Parts &amp; Supplies</v>
          </cell>
        </row>
        <row r="364">
          <cell r="E364" t="str">
            <v>JIG26-02-0079 SEMITEC AED GE-18011A 2</v>
          </cell>
          <cell r="F364" t="str">
            <v>JIG</v>
          </cell>
          <cell r="G364" t="str">
            <v>TIMER</v>
          </cell>
          <cell r="H364" t="str">
            <v>H3Y 110V/5 SEC. (ALTERNATIVE)</v>
          </cell>
          <cell r="I364" t="str">
            <v>VLCR</v>
          </cell>
          <cell r="J364" t="str">
            <v>PHP</v>
          </cell>
          <cell r="K364">
            <v>550</v>
          </cell>
          <cell r="L364" t="str">
            <v>SET</v>
          </cell>
          <cell r="M364" t="str">
            <v>Mr. Mark Agno</v>
          </cell>
          <cell r="N364" t="str">
            <v>Maintenance Parts &amp; Supplies</v>
          </cell>
        </row>
        <row r="365">
          <cell r="E365" t="str">
            <v>JIG26-02-0080 SEMITEC 8 AED1</v>
          </cell>
          <cell r="G365" t="str">
            <v>ALL IN MODIFICATION</v>
          </cell>
          <cell r="H365" t="str">
            <v>SEMITEC AUTO EJECTOR</v>
          </cell>
          <cell r="I365" t="str">
            <v>NESAS</v>
          </cell>
          <cell r="J365" t="str">
            <v>PHP</v>
          </cell>
          <cell r="K365">
            <v>78210</v>
          </cell>
          <cell r="L365" t="str">
            <v>PC</v>
          </cell>
          <cell r="M365" t="str">
            <v>Mr. Mark Agno</v>
          </cell>
          <cell r="N365" t="str">
            <v>Maintenance Parts &amp; Supplies</v>
          </cell>
        </row>
        <row r="366">
          <cell r="E366" t="str">
            <v>JIG26-02-0081 SEMITEC AED1</v>
          </cell>
          <cell r="F366" t="str">
            <v>JIG</v>
          </cell>
          <cell r="G366" t="str">
            <v>BINDER CUTTER</v>
          </cell>
          <cell r="H366" t="str">
            <v>WITH SENSOR</v>
          </cell>
          <cell r="I366" t="str">
            <v>NESAS</v>
          </cell>
          <cell r="J366" t="str">
            <v>PHP</v>
          </cell>
          <cell r="K366">
            <v>21214</v>
          </cell>
          <cell r="L366" t="str">
            <v>PC</v>
          </cell>
          <cell r="M366" t="str">
            <v>Mr. Mark Agno</v>
          </cell>
          <cell r="N366" t="str">
            <v>Maintenance Parts &amp; Supplies</v>
          </cell>
        </row>
        <row r="367">
          <cell r="E367" t="str">
            <v>JIG26-02-0082 HIUK-KOITO AUD1</v>
          </cell>
          <cell r="F367" t="str">
            <v>JIG</v>
          </cell>
          <cell r="G367" t="str">
            <v>BINDER CUTTER</v>
          </cell>
          <cell r="H367" t="str">
            <v>WITH SENSOR</v>
          </cell>
          <cell r="I367" t="str">
            <v>NESAS</v>
          </cell>
          <cell r="J367" t="str">
            <v>PHP</v>
          </cell>
          <cell r="K367">
            <v>21214</v>
          </cell>
          <cell r="L367" t="str">
            <v>PC</v>
          </cell>
          <cell r="M367" t="str">
            <v>Mr. Mark Agno</v>
          </cell>
          <cell r="N367" t="str">
            <v>Maintenance Parts &amp; Supplies</v>
          </cell>
        </row>
        <row r="368">
          <cell r="E368" t="str">
            <v>JIG26-02-0083 COMMON MATERIALS1</v>
          </cell>
          <cell r="F368" t="str">
            <v>JIG</v>
          </cell>
          <cell r="G368" t="str">
            <v xml:space="preserve">BEARING </v>
          </cell>
          <cell r="H368" t="str">
            <v>M5</v>
          </cell>
          <cell r="I368" t="str">
            <v>ANY</v>
          </cell>
          <cell r="J368" t="str">
            <v>PHP</v>
          </cell>
          <cell r="K368">
            <v>53.35</v>
          </cell>
          <cell r="L368" t="str">
            <v>PC</v>
          </cell>
          <cell r="M368" t="str">
            <v>Mr. Mark Agno</v>
          </cell>
          <cell r="N368" t="str">
            <v>Maintenance Parts &amp; Supplies</v>
          </cell>
        </row>
        <row r="369">
          <cell r="E369" t="str">
            <v>JIG26-01-0075 MISWIRING TEAM2</v>
          </cell>
          <cell r="F369" t="str">
            <v>JIG</v>
          </cell>
          <cell r="G369" t="str">
            <v>SHIPPING COST</v>
          </cell>
          <cell r="H369" t="str">
            <v>-</v>
          </cell>
          <cell r="I369" t="str">
            <v>UPS / FEDEX</v>
          </cell>
          <cell r="J369" t="str">
            <v>$</v>
          </cell>
          <cell r="K369">
            <v>25</v>
          </cell>
          <cell r="L369" t="str">
            <v>SET</v>
          </cell>
          <cell r="M369" t="str">
            <v>Mr. Mark Agno</v>
          </cell>
          <cell r="N369" t="str">
            <v>Maintenance Parts &amp; Supplies</v>
          </cell>
        </row>
        <row r="370">
          <cell r="E370" t="str">
            <v>JIG26-02-0084 COMMON MATERIALS1</v>
          </cell>
          <cell r="G370" t="str">
            <v xml:space="preserve">WOOD SCREW </v>
          </cell>
          <cell r="H370" t="str">
            <v xml:space="preserve">NO. 4 1/2 </v>
          </cell>
          <cell r="I370" t="str">
            <v>ANY</v>
          </cell>
          <cell r="J370" t="str">
            <v>PHP</v>
          </cell>
          <cell r="K370">
            <v>1</v>
          </cell>
          <cell r="L370" t="str">
            <v>PC</v>
          </cell>
          <cell r="M370" t="str">
            <v>Mr. Mark Agno</v>
          </cell>
          <cell r="N370" t="str">
            <v>Maintenance Parts &amp; Supplies</v>
          </cell>
        </row>
        <row r="371">
          <cell r="E371" t="str">
            <v>JIG26-02-0084 COMMON MATERIALS2</v>
          </cell>
          <cell r="G371" t="str">
            <v xml:space="preserve">WOOD SCREW </v>
          </cell>
          <cell r="H371" t="str">
            <v>NO. 4 3/8</v>
          </cell>
          <cell r="I371" t="str">
            <v>ANY</v>
          </cell>
          <cell r="J371" t="str">
            <v>PHP</v>
          </cell>
          <cell r="K371">
            <v>1</v>
          </cell>
          <cell r="L371" t="str">
            <v>PC</v>
          </cell>
          <cell r="M371" t="str">
            <v>Mr. Mark Agno</v>
          </cell>
          <cell r="N371" t="str">
            <v>Maintenance Parts &amp; Supplies</v>
          </cell>
        </row>
        <row r="372">
          <cell r="E372" t="str">
            <v>JIG26-02-0084 COMMON MATERIALS3</v>
          </cell>
          <cell r="G372" t="str">
            <v xml:space="preserve">WOOD SCREW </v>
          </cell>
          <cell r="H372" t="str">
            <v xml:space="preserve">NO. 4 3/4 </v>
          </cell>
          <cell r="I372" t="str">
            <v>ANY</v>
          </cell>
          <cell r="J372" t="str">
            <v>PHP</v>
          </cell>
          <cell r="K372">
            <v>1.25</v>
          </cell>
          <cell r="L372" t="str">
            <v>PC</v>
          </cell>
          <cell r="M372" t="str">
            <v>Mr. Mark Agno</v>
          </cell>
          <cell r="N372" t="str">
            <v>Maintenance Parts &amp; Supplies</v>
          </cell>
        </row>
        <row r="373">
          <cell r="E373" t="str">
            <v>JIG26-02-0085 COMMON MATERIALS1</v>
          </cell>
          <cell r="F373" t="str">
            <v>JIG</v>
          </cell>
          <cell r="G373" t="str">
            <v>SOLENOID VALVE 24V</v>
          </cell>
          <cell r="H373" t="str">
            <v>SY3120-5LZD-M5</v>
          </cell>
          <cell r="I373" t="str">
            <v>ANY</v>
          </cell>
          <cell r="J373" t="str">
            <v>PHP</v>
          </cell>
          <cell r="K373">
            <v>1500</v>
          </cell>
          <cell r="L373" t="str">
            <v>PC</v>
          </cell>
          <cell r="M373" t="str">
            <v>Mr. Mark Agno</v>
          </cell>
          <cell r="N373" t="str">
            <v>Maintenance Parts &amp; Supplies</v>
          </cell>
        </row>
        <row r="374">
          <cell r="E374" t="str">
            <v>JIG26-02-0086 COMMON MATERIALS1</v>
          </cell>
          <cell r="F374" t="str">
            <v>JIG</v>
          </cell>
          <cell r="G374" t="str">
            <v>TOGGLE CLAMP</v>
          </cell>
          <cell r="H374" t="str">
            <v>HV-150</v>
          </cell>
          <cell r="I374" t="str">
            <v>VLCR</v>
          </cell>
          <cell r="J374" t="str">
            <v>PHP</v>
          </cell>
          <cell r="K374">
            <v>790</v>
          </cell>
          <cell r="L374" t="str">
            <v>PC</v>
          </cell>
          <cell r="M374" t="str">
            <v>Mr. Mark Agno</v>
          </cell>
          <cell r="N374" t="str">
            <v>Maintenance Parts &amp; Supplies</v>
          </cell>
        </row>
        <row r="375">
          <cell r="E375" t="str">
            <v>JIG26-02-0087 COMMON MATERIALS1</v>
          </cell>
          <cell r="F375" t="str">
            <v>JIG</v>
          </cell>
          <cell r="G375" t="str">
            <v>T-SLOT NUT</v>
          </cell>
          <cell r="H375" t="str">
            <v xml:space="preserve">30# M6 </v>
          </cell>
          <cell r="I375" t="str">
            <v>SHOPEE</v>
          </cell>
          <cell r="J375" t="str">
            <v>PHP</v>
          </cell>
          <cell r="K375">
            <v>132</v>
          </cell>
          <cell r="L375" t="str">
            <v>PACK</v>
          </cell>
          <cell r="M375" t="str">
            <v>Ms. Carla</v>
          </cell>
          <cell r="N375" t="str">
            <v>Maintenance Parts &amp; Supplies</v>
          </cell>
        </row>
        <row r="376">
          <cell r="E376" t="str">
            <v>JIG26-02-0088 COMMON MATERIALS1</v>
          </cell>
          <cell r="F376" t="str">
            <v>JIG</v>
          </cell>
          <cell r="G376" t="str">
            <v>CORNER BRACKET</v>
          </cell>
          <cell r="H376" t="str">
            <v>TYPE L 30 X 30</v>
          </cell>
          <cell r="I376" t="str">
            <v>ANY</v>
          </cell>
          <cell r="J376" t="str">
            <v>PHP</v>
          </cell>
          <cell r="K376">
            <v>33</v>
          </cell>
          <cell r="L376" t="str">
            <v>PC</v>
          </cell>
          <cell r="M376" t="str">
            <v>Mr. Mark Agno</v>
          </cell>
          <cell r="N376" t="str">
            <v>Maintenance Parts &amp; Supplies</v>
          </cell>
        </row>
        <row r="377">
          <cell r="E377" t="str">
            <v>JIG26-02-0088 COMMON MATERIALS2</v>
          </cell>
          <cell r="F377" t="str">
            <v>JIG</v>
          </cell>
          <cell r="G377" t="str">
            <v>CORNER BRACKET</v>
          </cell>
          <cell r="H377" t="str">
            <v>TYPE L 20 X 20</v>
          </cell>
          <cell r="I377" t="str">
            <v>ANY</v>
          </cell>
          <cell r="J377" t="str">
            <v>PHP</v>
          </cell>
          <cell r="K377">
            <v>22</v>
          </cell>
          <cell r="L377" t="str">
            <v>PC</v>
          </cell>
          <cell r="M377" t="str">
            <v>Mr. Mark Agno</v>
          </cell>
          <cell r="N377" t="str">
            <v>Maintenance Parts &amp; Supplies</v>
          </cell>
        </row>
        <row r="378">
          <cell r="E378" t="str">
            <v>JIG26-02-0089 COMMON MATERIALS1</v>
          </cell>
          <cell r="F378" t="str">
            <v>JIG</v>
          </cell>
          <cell r="G378" t="str">
            <v>BATTERY (RECHARGEABLE)</v>
          </cell>
          <cell r="H378" t="str">
            <v>AAA</v>
          </cell>
          <cell r="I378" t="str">
            <v>SHOPEE</v>
          </cell>
          <cell r="J378" t="str">
            <v>PHP</v>
          </cell>
          <cell r="K378">
            <v>718</v>
          </cell>
          <cell r="L378" t="str">
            <v>SET</v>
          </cell>
          <cell r="M378" t="str">
            <v>Ms. Carla</v>
          </cell>
          <cell r="N378" t="str">
            <v>Maintenance Parts &amp; Supplies</v>
          </cell>
        </row>
        <row r="379">
          <cell r="E379" t="str">
            <v>JIG26-02-0089 COMMON MATERIALS2</v>
          </cell>
          <cell r="F379" t="str">
            <v>JIG</v>
          </cell>
          <cell r="G379" t="str">
            <v>BATTERY (RECHARGEABLE)</v>
          </cell>
          <cell r="H379" t="str">
            <v>AA</v>
          </cell>
          <cell r="I379" t="str">
            <v>SHOPEE</v>
          </cell>
          <cell r="J379" t="str">
            <v>PHP</v>
          </cell>
          <cell r="K379">
            <v>718</v>
          </cell>
          <cell r="L379" t="str">
            <v>SET</v>
          </cell>
          <cell r="M379" t="str">
            <v>Ms. Carla</v>
          </cell>
          <cell r="N379" t="str">
            <v>Maintenance Parts &amp; Supplies</v>
          </cell>
        </row>
        <row r="380">
          <cell r="E380" t="str">
            <v>JIG26-02-0090 JIG MATERIAL SAFETY LOCK1</v>
          </cell>
          <cell r="F380" t="str">
            <v>JIG</v>
          </cell>
          <cell r="G380" t="str">
            <v>SAFETY HASP LOCK</v>
          </cell>
          <cell r="H380" t="str">
            <v>STAINLESS</v>
          </cell>
          <cell r="I380" t="str">
            <v>SHOPEE</v>
          </cell>
          <cell r="J380" t="str">
            <v>PHP</v>
          </cell>
          <cell r="K380">
            <v>129</v>
          </cell>
          <cell r="L380" t="str">
            <v>PC</v>
          </cell>
          <cell r="M380" t="str">
            <v>Ms. Carla</v>
          </cell>
          <cell r="N380" t="str">
            <v>Maintenance Parts &amp; Supplies</v>
          </cell>
        </row>
        <row r="381">
          <cell r="E381" t="str">
            <v>JIG26-02-0091 COMMON MATERIALS1</v>
          </cell>
          <cell r="G381" t="str">
            <v>WAY CHANNEL RELAY MODULE HIGH LOW LEVEL W/ OPTO COUPLER</v>
          </cell>
          <cell r="H381" t="str">
            <v>24V-2 CHANNEL</v>
          </cell>
          <cell r="I381" t="str">
            <v>SHOPEE</v>
          </cell>
          <cell r="J381" t="str">
            <v>PHP</v>
          </cell>
          <cell r="K381">
            <v>86</v>
          </cell>
          <cell r="L381" t="str">
            <v>PC</v>
          </cell>
          <cell r="M381" t="str">
            <v>Ms. Carla</v>
          </cell>
          <cell r="N381" t="str">
            <v>Maintenance Parts &amp; Supplies</v>
          </cell>
        </row>
        <row r="382">
          <cell r="E382" t="str">
            <v>JIG26-02-0092 OFFICE SUPPLIES1</v>
          </cell>
          <cell r="F382" t="str">
            <v>JIG OFFICE SUPPLIES</v>
          </cell>
          <cell r="G382" t="str">
            <v>NEWS PRINT</v>
          </cell>
          <cell r="H382" t="str">
            <v>A4</v>
          </cell>
          <cell r="I382" t="str">
            <v>ANY</v>
          </cell>
          <cell r="J382" t="str">
            <v>PHP</v>
          </cell>
          <cell r="K382">
            <v>135</v>
          </cell>
          <cell r="L382" t="str">
            <v>REAM</v>
          </cell>
          <cell r="M382" t="str">
            <v>Mr. Mark Agno</v>
          </cell>
          <cell r="N382" t="str">
            <v>OSE</v>
          </cell>
        </row>
        <row r="383">
          <cell r="E383" t="str">
            <v>JIG26-02-0093 COMMON MATERIALS1</v>
          </cell>
          <cell r="F383" t="str">
            <v>JIG</v>
          </cell>
          <cell r="G383" t="str">
            <v>FITTINGS</v>
          </cell>
          <cell r="H383" t="str">
            <v>AS1201F-M5-06A</v>
          </cell>
          <cell r="I383" t="str">
            <v>ANY</v>
          </cell>
          <cell r="J383" t="str">
            <v>PHP</v>
          </cell>
          <cell r="K383">
            <v>450</v>
          </cell>
          <cell r="L383" t="str">
            <v>PC</v>
          </cell>
          <cell r="M383" t="str">
            <v>Mr. Mark Agno</v>
          </cell>
          <cell r="N383" t="str">
            <v>Maintenance Parts &amp; Supplies</v>
          </cell>
        </row>
        <row r="384">
          <cell r="E384" t="str">
            <v>JIG26-02-0094 COMMON MATERIALS1</v>
          </cell>
          <cell r="G384" t="str">
            <v>FLAG SHAPED PLUG SPRING</v>
          </cell>
          <cell r="H384" t="str">
            <v>2.8MM</v>
          </cell>
          <cell r="I384" t="str">
            <v>SHOPPEE</v>
          </cell>
          <cell r="J384" t="str">
            <v>PHP</v>
          </cell>
          <cell r="K384">
            <v>120</v>
          </cell>
          <cell r="L384" t="str">
            <v>SET</v>
          </cell>
          <cell r="M384" t="str">
            <v>Ms. Carla</v>
          </cell>
          <cell r="N384" t="str">
            <v>Maintenance Parts &amp; Supplies</v>
          </cell>
        </row>
        <row r="385">
          <cell r="E385" t="str">
            <v>JIG26-02-0095 COMMON MATERIALS1</v>
          </cell>
          <cell r="F385" t="str">
            <v>JIG</v>
          </cell>
          <cell r="G385" t="str">
            <v>FUSE GLASS</v>
          </cell>
          <cell r="H385" t="str">
            <v>0.5AMP/20MM</v>
          </cell>
          <cell r="I385" t="str">
            <v>ANY</v>
          </cell>
          <cell r="J385" t="str">
            <v>PHP</v>
          </cell>
          <cell r="K385">
            <v>4</v>
          </cell>
          <cell r="L385" t="str">
            <v>PC</v>
          </cell>
          <cell r="M385" t="str">
            <v>Mr. Mark Agno</v>
          </cell>
          <cell r="N385" t="str">
            <v>Maintenance Parts &amp; Supplies</v>
          </cell>
        </row>
        <row r="386">
          <cell r="E386" t="str">
            <v>JIG26-02-0096 COMMON MATERIALS1</v>
          </cell>
          <cell r="F386" t="str">
            <v>JIG</v>
          </cell>
          <cell r="G386" t="str">
            <v>END CAP</v>
          </cell>
          <cell r="H386" t="str">
            <v>30 X 30</v>
          </cell>
          <cell r="I386" t="str">
            <v>ANY</v>
          </cell>
          <cell r="J386" t="str">
            <v>$</v>
          </cell>
          <cell r="K386">
            <v>0.25</v>
          </cell>
          <cell r="L386" t="str">
            <v>PC</v>
          </cell>
          <cell r="M386" t="str">
            <v>Mr. Mark Agno</v>
          </cell>
          <cell r="N386" t="str">
            <v>Maintenance Parts &amp; Supplies</v>
          </cell>
        </row>
        <row r="387">
          <cell r="E387" t="str">
            <v>JIG26-02-0097 COMMON MATERIALS1</v>
          </cell>
          <cell r="F387" t="str">
            <v>JIG</v>
          </cell>
          <cell r="G387" t="str">
            <v>ARDUINO NANO</v>
          </cell>
          <cell r="H387" t="str">
            <v>CH340</v>
          </cell>
          <cell r="I387" t="str">
            <v>LAZADA</v>
          </cell>
          <cell r="J387" t="str">
            <v>PHP</v>
          </cell>
          <cell r="K387">
            <v>125</v>
          </cell>
          <cell r="L387" t="str">
            <v>PC</v>
          </cell>
          <cell r="M387" t="str">
            <v>Ms. Carla</v>
          </cell>
          <cell r="N387" t="str">
            <v>Maintenance Parts &amp; Supplies</v>
          </cell>
        </row>
        <row r="388">
          <cell r="E388" t="str">
            <v>JIG26-02-0098 FABRIC COVER1</v>
          </cell>
          <cell r="F388" t="str">
            <v>JIG</v>
          </cell>
          <cell r="G388" t="str">
            <v>FABRIC COVER</v>
          </cell>
          <cell r="H388" t="str">
            <v>57"X46"</v>
          </cell>
          <cell r="I388" t="str">
            <v>DIVINE SPORTWEAR</v>
          </cell>
          <cell r="J388" t="str">
            <v>PHP</v>
          </cell>
          <cell r="K388">
            <v>300</v>
          </cell>
          <cell r="L388" t="str">
            <v>PC</v>
          </cell>
          <cell r="M388" t="str">
            <v>Mr. Mark Agno</v>
          </cell>
          <cell r="N388" t="str">
            <v>Maintenance Parts &amp; Supplies</v>
          </cell>
        </row>
        <row r="389">
          <cell r="E389" t="str">
            <v>JIG26-02-0099 COMMON MATERIALS1</v>
          </cell>
          <cell r="G389" t="str">
            <v>JST CONNECTOR STRIP</v>
          </cell>
          <cell r="H389" t="str">
            <v>40 PIN 1X40</v>
          </cell>
          <cell r="I389" t="str">
            <v>SHOPEE</v>
          </cell>
          <cell r="J389" t="str">
            <v>PHP</v>
          </cell>
          <cell r="K389">
            <v>70</v>
          </cell>
          <cell r="L389" t="str">
            <v>PACK</v>
          </cell>
          <cell r="M389" t="str">
            <v>Ms. Carla</v>
          </cell>
          <cell r="N389" t="str">
            <v>Maintenance Parts &amp; Supplies</v>
          </cell>
        </row>
        <row r="390">
          <cell r="E390" t="str">
            <v>JIG26-02-0100 COMMON MATERIALS1</v>
          </cell>
          <cell r="G390" t="str">
            <v>RESISTOR</v>
          </cell>
          <cell r="H390" t="str">
            <v>5W20ΩJ</v>
          </cell>
          <cell r="I390" t="str">
            <v>ANY</v>
          </cell>
          <cell r="J390" t="str">
            <v>PHP</v>
          </cell>
          <cell r="K390">
            <v>10</v>
          </cell>
          <cell r="L390" t="str">
            <v>PC</v>
          </cell>
          <cell r="M390" t="str">
            <v>Mr. Mark Agno</v>
          </cell>
          <cell r="N390" t="str">
            <v>Maintenance Parts &amp; Supplies</v>
          </cell>
        </row>
        <row r="391">
          <cell r="E391" t="str">
            <v>JIG26-02-0101 GLORY JAPAN ABD1</v>
          </cell>
          <cell r="F391" t="str">
            <v>JIG</v>
          </cell>
          <cell r="G391" t="str">
            <v>CAPACITOR</v>
          </cell>
          <cell r="H391">
            <v>104</v>
          </cell>
          <cell r="I391" t="str">
            <v>ANY</v>
          </cell>
          <cell r="J391" t="str">
            <v>PHP</v>
          </cell>
          <cell r="K391">
            <v>5</v>
          </cell>
          <cell r="L391" t="str">
            <v>PC</v>
          </cell>
          <cell r="M391" t="str">
            <v>Mr. Mark Agno</v>
          </cell>
          <cell r="N391" t="str">
            <v>Maintenance Parts &amp; Supplies</v>
          </cell>
        </row>
        <row r="392">
          <cell r="E392" t="str">
            <v>JIG26-02-0101 GLORY JAPAN ABD2</v>
          </cell>
          <cell r="F392" t="str">
            <v>JIG</v>
          </cell>
          <cell r="G392" t="str">
            <v xml:space="preserve">RESISTOR </v>
          </cell>
          <cell r="H392" t="str">
            <v>2K Ω</v>
          </cell>
          <cell r="I392" t="str">
            <v>ANY</v>
          </cell>
          <cell r="J392" t="str">
            <v>PHP</v>
          </cell>
          <cell r="K392">
            <v>2</v>
          </cell>
          <cell r="L392" t="str">
            <v>PC</v>
          </cell>
          <cell r="M392" t="str">
            <v>Mr. Mark Agno</v>
          </cell>
          <cell r="N392" t="str">
            <v>Maintenance Parts &amp; Supplies</v>
          </cell>
        </row>
        <row r="393">
          <cell r="E393" t="str">
            <v>JIG26-02-0101 GLORY JAPAN ABD3</v>
          </cell>
          <cell r="F393" t="str">
            <v>JIG</v>
          </cell>
          <cell r="G393" t="str">
            <v xml:space="preserve">RESISTOR </v>
          </cell>
          <cell r="H393" t="str">
            <v>470 Ω</v>
          </cell>
          <cell r="I393" t="str">
            <v>ANY</v>
          </cell>
          <cell r="J393" t="str">
            <v>PHP</v>
          </cell>
          <cell r="K393">
            <v>2</v>
          </cell>
          <cell r="L393" t="str">
            <v>PC</v>
          </cell>
          <cell r="M393" t="str">
            <v>Mr. Mark Agno</v>
          </cell>
          <cell r="N393" t="str">
            <v>Maintenance Parts &amp; Supplies</v>
          </cell>
        </row>
        <row r="394">
          <cell r="E394" t="str">
            <v>JIG26-02-0101 GLORY JAPAN ABD4</v>
          </cell>
          <cell r="F394" t="str">
            <v>JIG</v>
          </cell>
          <cell r="G394" t="str">
            <v>ARDUINO NANO</v>
          </cell>
          <cell r="H394" t="str">
            <v>CH340</v>
          </cell>
          <cell r="I394" t="str">
            <v>LAZADA</v>
          </cell>
          <cell r="J394" t="str">
            <v>PHP</v>
          </cell>
          <cell r="K394">
            <v>125</v>
          </cell>
          <cell r="L394" t="str">
            <v>PC</v>
          </cell>
          <cell r="M394" t="str">
            <v>Mr. Mark Agno</v>
          </cell>
          <cell r="N394" t="str">
            <v>Maintenance Parts &amp; Supplies</v>
          </cell>
        </row>
        <row r="395">
          <cell r="E395" t="str">
            <v>JIG26-02-0101 GLORY JAPAN ABD5</v>
          </cell>
          <cell r="G395" t="str">
            <v>ARDUINO MEGA</v>
          </cell>
          <cell r="H395" t="str">
            <v>MEGA 2560</v>
          </cell>
          <cell r="I395" t="str">
            <v>ANY</v>
          </cell>
          <cell r="J395" t="str">
            <v>PHP</v>
          </cell>
          <cell r="K395">
            <v>732.47</v>
          </cell>
          <cell r="L395" t="str">
            <v>PC</v>
          </cell>
          <cell r="M395" t="str">
            <v>Mr. Mark Agno</v>
          </cell>
          <cell r="N395" t="str">
            <v>Maintenance Parts &amp; Supplies</v>
          </cell>
        </row>
        <row r="396">
          <cell r="E396" t="str">
            <v>JIG26-02-0101 GLORY JAPAN ABD6</v>
          </cell>
          <cell r="G396" t="str">
            <v>ARDUINO PINS</v>
          </cell>
          <cell r="H396" t="str">
            <v>40 PIN 1X40</v>
          </cell>
          <cell r="I396" t="str">
            <v>SHOPEE</v>
          </cell>
          <cell r="J396" t="str">
            <v>PHP</v>
          </cell>
          <cell r="K396">
            <v>70</v>
          </cell>
          <cell r="L396" t="str">
            <v>PACK</v>
          </cell>
          <cell r="M396" t="str">
            <v>Mr. Mark Agno</v>
          </cell>
          <cell r="N396" t="str">
            <v>Maintenance Parts &amp; Supplies</v>
          </cell>
        </row>
        <row r="397">
          <cell r="E397" t="str">
            <v>JIG26-02-0101 GLORY JAPAN ABD7</v>
          </cell>
          <cell r="F397" t="str">
            <v>JIG</v>
          </cell>
          <cell r="G397" t="str">
            <v>POWER SUPPLY</v>
          </cell>
          <cell r="H397" t="str">
            <v>BOSCA 5V</v>
          </cell>
          <cell r="I397" t="str">
            <v>ANY</v>
          </cell>
          <cell r="J397" t="str">
            <v>PHP</v>
          </cell>
          <cell r="K397">
            <v>195</v>
          </cell>
          <cell r="L397" t="str">
            <v>PC</v>
          </cell>
          <cell r="M397" t="str">
            <v>Mr. Mark Agno</v>
          </cell>
          <cell r="N397" t="str">
            <v>Maintenance Parts &amp; Supplies</v>
          </cell>
        </row>
        <row r="398">
          <cell r="E398" t="str">
            <v>JIG26-02-0101 GLORY JAPAN ABD8</v>
          </cell>
          <cell r="F398" t="str">
            <v>JIG</v>
          </cell>
          <cell r="G398" t="str">
            <v>PCB UNIVERSAL</v>
          </cell>
          <cell r="H398" t="str">
            <v>PC-401</v>
          </cell>
          <cell r="I398" t="str">
            <v>ANY</v>
          </cell>
          <cell r="J398" t="str">
            <v>PHP</v>
          </cell>
          <cell r="K398">
            <v>55</v>
          </cell>
          <cell r="L398" t="str">
            <v>PC</v>
          </cell>
          <cell r="M398" t="str">
            <v>Mr. Mark Agno</v>
          </cell>
          <cell r="N398" t="str">
            <v>Maintenance Parts &amp; Supplies</v>
          </cell>
        </row>
        <row r="399">
          <cell r="E399" t="str">
            <v>JIG26-02-0101 GLORY JAPAN ABD9</v>
          </cell>
          <cell r="G399" t="str">
            <v>OPTO COUPLER</v>
          </cell>
          <cell r="H399" t="str">
            <v>PC-817</v>
          </cell>
          <cell r="I399" t="str">
            <v>ANY</v>
          </cell>
          <cell r="J399" t="str">
            <v>PHP</v>
          </cell>
          <cell r="K399">
            <v>24</v>
          </cell>
          <cell r="L399" t="str">
            <v>PC</v>
          </cell>
          <cell r="M399" t="str">
            <v>Mr. Mark Agno</v>
          </cell>
          <cell r="N399" t="str">
            <v>Maintenance Parts &amp; Supplies</v>
          </cell>
        </row>
        <row r="400">
          <cell r="E400" t="str">
            <v>JIG26-02-0102 COMMON MATERIALS1</v>
          </cell>
          <cell r="F400" t="str">
            <v>JIG</v>
          </cell>
          <cell r="G400" t="str">
            <v>T-NUT HAMMER HEAD</v>
          </cell>
          <cell r="H400" t="str">
            <v>3030-M6</v>
          </cell>
          <cell r="I400" t="str">
            <v>SHOPEE</v>
          </cell>
          <cell r="J400" t="str">
            <v>PHP</v>
          </cell>
          <cell r="K400">
            <v>78</v>
          </cell>
          <cell r="L400" t="str">
            <v>PACK</v>
          </cell>
          <cell r="M400" t="str">
            <v>Mr. Mark Agno</v>
          </cell>
          <cell r="N400" t="str">
            <v>Maintenance Parts &amp; Supplies</v>
          </cell>
        </row>
        <row r="401">
          <cell r="E401" t="str">
            <v>JIG26-02-0103 COMMON MATERIALS1</v>
          </cell>
          <cell r="F401" t="str">
            <v>JIG</v>
          </cell>
          <cell r="G401" t="str">
            <v>STAINLESS FLAT HEAD BOLT AND NUTS</v>
          </cell>
          <cell r="H401" t="str">
            <v>M3X16MM</v>
          </cell>
          <cell r="I401" t="str">
            <v>ANY</v>
          </cell>
          <cell r="J401" t="str">
            <v>PHP</v>
          </cell>
          <cell r="K401">
            <v>3.05</v>
          </cell>
          <cell r="L401" t="str">
            <v>PC</v>
          </cell>
          <cell r="M401" t="str">
            <v>Mr. Mark Agno</v>
          </cell>
          <cell r="N401" t="str">
            <v>Maintenance Parts &amp; Supplies</v>
          </cell>
        </row>
        <row r="402">
          <cell r="E402" t="str">
            <v>JIG26-02-0103 COMMON MATERIALS2</v>
          </cell>
          <cell r="F402" t="str">
            <v>JIG</v>
          </cell>
          <cell r="G402" t="str">
            <v>STAINLESS ALLEN BOLTS AND NUTS WITH WASHER</v>
          </cell>
          <cell r="H402" t="str">
            <v>M6 X 16MM</v>
          </cell>
          <cell r="I402" t="str">
            <v>ANY</v>
          </cell>
          <cell r="J402" t="str">
            <v>PHP</v>
          </cell>
          <cell r="K402">
            <v>6.15</v>
          </cell>
          <cell r="L402" t="str">
            <v>PC</v>
          </cell>
          <cell r="M402" t="str">
            <v>Mr. Mark Agno</v>
          </cell>
          <cell r="N402" t="str">
            <v>Maintenance Parts &amp; Supplies</v>
          </cell>
        </row>
        <row r="403">
          <cell r="E403" t="str">
            <v>JIG26-02-0104 SEMITEC AED GE-A1606B1</v>
          </cell>
          <cell r="F403" t="str">
            <v>JIG</v>
          </cell>
          <cell r="G403" t="str">
            <v>AMPLIFIER WITH FIBER OPTIC</v>
          </cell>
          <cell r="H403" t="str">
            <v>PC1-NH</v>
          </cell>
          <cell r="I403" t="str">
            <v>AKUSENSE</v>
          </cell>
          <cell r="J403" t="str">
            <v>PHP</v>
          </cell>
          <cell r="K403">
            <v>3539.25</v>
          </cell>
          <cell r="L403" t="str">
            <v>PC</v>
          </cell>
          <cell r="M403" t="str">
            <v>Mr. Mark Agno</v>
          </cell>
          <cell r="N403" t="str">
            <v>Maintenance Parts &amp; Supplies</v>
          </cell>
        </row>
        <row r="404">
          <cell r="E404" t="str">
            <v>JIG26-02-0104 SEMITEC AED GE-A1606B2</v>
          </cell>
          <cell r="F404" t="str">
            <v>JIG</v>
          </cell>
          <cell r="G404" t="str">
            <v>TIMER</v>
          </cell>
          <cell r="H404" t="str">
            <v>H3Y 24V/5 SEC. (ALTERNATIVE)</v>
          </cell>
          <cell r="I404" t="str">
            <v>VLCR</v>
          </cell>
          <cell r="J404" t="str">
            <v>PHP</v>
          </cell>
          <cell r="K404">
            <v>550</v>
          </cell>
          <cell r="L404" t="str">
            <v>SET</v>
          </cell>
          <cell r="M404" t="str">
            <v>Mr. Mark Agno</v>
          </cell>
          <cell r="N404" t="str">
            <v>Maintenance Parts &amp; Supplies</v>
          </cell>
        </row>
        <row r="405">
          <cell r="E405" t="str">
            <v>JIG26-02-0104 SEMITEC AED GE-A1606B3</v>
          </cell>
          <cell r="F405" t="str">
            <v>JIG</v>
          </cell>
          <cell r="G405" t="str">
            <v>RELAY</v>
          </cell>
          <cell r="H405" t="str">
            <v>24V/14PINS</v>
          </cell>
          <cell r="I405" t="str">
            <v>ANY</v>
          </cell>
          <cell r="J405" t="str">
            <v>PHP</v>
          </cell>
          <cell r="K405">
            <v>170</v>
          </cell>
          <cell r="L405" t="str">
            <v>PC</v>
          </cell>
          <cell r="M405" t="str">
            <v>Mr. Mark Agno</v>
          </cell>
          <cell r="N405" t="str">
            <v>Maintenance Parts &amp; Supplies</v>
          </cell>
        </row>
        <row r="406">
          <cell r="E406" t="str">
            <v>JIG26-02-0105 SEMITEC AED GE-A18011B1</v>
          </cell>
          <cell r="F406" t="str">
            <v>JIG</v>
          </cell>
          <cell r="G406" t="str">
            <v>AMPLIFIER WITH FIBER OPTIC</v>
          </cell>
          <cell r="H406" t="str">
            <v>PC1-NH</v>
          </cell>
          <cell r="I406" t="str">
            <v>AKUSENSE</v>
          </cell>
          <cell r="J406" t="str">
            <v>PHP</v>
          </cell>
          <cell r="K406">
            <v>3539.25</v>
          </cell>
          <cell r="L406" t="str">
            <v>PC</v>
          </cell>
          <cell r="M406" t="str">
            <v>Mr. Mark Agno</v>
          </cell>
          <cell r="N406" t="str">
            <v>Maintenance Parts &amp; Supplies</v>
          </cell>
        </row>
        <row r="407">
          <cell r="E407" t="str">
            <v>JIG26-02-0105 SEMITEC AED GE-A18011B2</v>
          </cell>
          <cell r="F407" t="str">
            <v>JIG</v>
          </cell>
          <cell r="G407" t="str">
            <v>TIMER</v>
          </cell>
          <cell r="H407" t="str">
            <v>H3Y 24V/5 SEC. (ALTERNATIVE)</v>
          </cell>
          <cell r="I407" t="str">
            <v>VLCR</v>
          </cell>
          <cell r="J407" t="str">
            <v>PHP</v>
          </cell>
          <cell r="K407">
            <v>550</v>
          </cell>
          <cell r="L407" t="str">
            <v>SET</v>
          </cell>
          <cell r="M407" t="str">
            <v>Mr. Mark Agno</v>
          </cell>
          <cell r="N407" t="str">
            <v>Maintenance Parts &amp; Supplies</v>
          </cell>
        </row>
        <row r="408">
          <cell r="E408" t="str">
            <v>JIG26-02-0105 SEMITEC AED GE-A18011B3</v>
          </cell>
          <cell r="F408" t="str">
            <v>JIG</v>
          </cell>
          <cell r="G408" t="str">
            <v>RELAY</v>
          </cell>
          <cell r="H408" t="str">
            <v>24V/14PINS</v>
          </cell>
          <cell r="I408" t="str">
            <v>ANY</v>
          </cell>
          <cell r="J408" t="str">
            <v>PHP</v>
          </cell>
          <cell r="K408">
            <v>170</v>
          </cell>
          <cell r="L408" t="str">
            <v>PC</v>
          </cell>
          <cell r="M408" t="str">
            <v>Mr. Mark Agno</v>
          </cell>
          <cell r="N408" t="str">
            <v>Maintenance Parts &amp; Supplies</v>
          </cell>
        </row>
        <row r="409">
          <cell r="E409" t="str">
            <v>JIG26-02-0106 SEMITEC AED1</v>
          </cell>
          <cell r="G409" t="str">
            <v>PANASONIC PLC</v>
          </cell>
          <cell r="H409" t="str">
            <v>BRAND NEW</v>
          </cell>
          <cell r="I409" t="str">
            <v>NESAS</v>
          </cell>
          <cell r="J409" t="str">
            <v>PHP</v>
          </cell>
          <cell r="K409">
            <v>9801</v>
          </cell>
          <cell r="L409" t="str">
            <v>PC</v>
          </cell>
          <cell r="M409" t="str">
            <v>Mr. Mark Agno</v>
          </cell>
          <cell r="N409" t="str">
            <v>Maintenance Parts &amp; Supplies</v>
          </cell>
        </row>
        <row r="410">
          <cell r="E410" t="str">
            <v>JIG26-02-0106 SEMITEC AED2</v>
          </cell>
          <cell r="G410" t="str">
            <v>EXPANSION UNIT</v>
          </cell>
          <cell r="H410" t="str">
            <v>FP0R-E32</v>
          </cell>
          <cell r="I410" t="str">
            <v>ANY</v>
          </cell>
          <cell r="J410" t="str">
            <v>PHP</v>
          </cell>
          <cell r="K410">
            <v>9400</v>
          </cell>
          <cell r="L410" t="str">
            <v>PC</v>
          </cell>
          <cell r="M410" t="str">
            <v>Mr. Mark Agno</v>
          </cell>
          <cell r="N410" t="str">
            <v>Maintenance Parts &amp; Supplies</v>
          </cell>
        </row>
        <row r="411">
          <cell r="E411" t="str">
            <v>JIG26-02-0106 SEMITEC AED3</v>
          </cell>
          <cell r="G411" t="str">
            <v xml:space="preserve">SWITCHING INDUSTRIAL POWER SUPPLY </v>
          </cell>
          <cell r="H411" t="str">
            <v>24V/2A</v>
          </cell>
          <cell r="I411" t="str">
            <v>ANY</v>
          </cell>
          <cell r="J411" t="str">
            <v>PHP</v>
          </cell>
          <cell r="K411">
            <v>425</v>
          </cell>
          <cell r="L411" t="str">
            <v>PC</v>
          </cell>
          <cell r="M411" t="str">
            <v>Mr. Mark Agno</v>
          </cell>
          <cell r="N411" t="str">
            <v>Maintenance Parts &amp; Supplies</v>
          </cell>
        </row>
        <row r="412">
          <cell r="E412" t="str">
            <v>JIG26-02-0106 SEMITEC AED4</v>
          </cell>
          <cell r="F412" t="str">
            <v>JIG</v>
          </cell>
          <cell r="G412" t="str">
            <v>RELAY MODULE</v>
          </cell>
          <cell r="H412" t="str">
            <v>24V 8CHANNEL</v>
          </cell>
          <cell r="I412" t="str">
            <v>ANY</v>
          </cell>
          <cell r="J412" t="str">
            <v>PHP</v>
          </cell>
          <cell r="K412">
            <v>345.29</v>
          </cell>
          <cell r="L412" t="str">
            <v>PC</v>
          </cell>
          <cell r="M412" t="str">
            <v>Mr. Mark Agno</v>
          </cell>
          <cell r="N412" t="str">
            <v>Maintenance Parts &amp; Supplies</v>
          </cell>
        </row>
        <row r="413">
          <cell r="E413" t="str">
            <v>JIG26-02-0106 SEMITEC AED5</v>
          </cell>
          <cell r="G413" t="str">
            <v>WAY CHANNEL RELAY MODULE HIGH LOW LEVEL W/ OPTO COUPLER</v>
          </cell>
          <cell r="H413" t="str">
            <v>5V 2 CHANNEL</v>
          </cell>
          <cell r="I413" t="str">
            <v>LAZADA</v>
          </cell>
          <cell r="J413" t="str">
            <v>PHP</v>
          </cell>
          <cell r="K413">
            <v>87</v>
          </cell>
          <cell r="L413" t="str">
            <v>PC</v>
          </cell>
          <cell r="M413" t="str">
            <v>Mr. Mark Agno</v>
          </cell>
          <cell r="N413" t="str">
            <v>Maintenance Parts &amp; Supplies</v>
          </cell>
        </row>
        <row r="414">
          <cell r="E414" t="str">
            <v>JIG26-02-0106 SEMITEC AED6</v>
          </cell>
          <cell r="G414" t="str">
            <v>TRANSISTOR</v>
          </cell>
          <cell r="H414" t="str">
            <v>C1815</v>
          </cell>
          <cell r="I414" t="str">
            <v>ANY</v>
          </cell>
          <cell r="J414" t="str">
            <v>PHP</v>
          </cell>
          <cell r="K414">
            <v>19</v>
          </cell>
          <cell r="L414" t="str">
            <v>PC</v>
          </cell>
          <cell r="M414" t="str">
            <v>Mr. Mark Agno</v>
          </cell>
          <cell r="N414" t="str">
            <v>Maintenance Parts &amp; Supplies</v>
          </cell>
        </row>
        <row r="415">
          <cell r="E415" t="str">
            <v>JIG26-02-0106 SEMITEC AED7</v>
          </cell>
          <cell r="G415" t="str">
            <v xml:space="preserve">RESISTOR </v>
          </cell>
          <cell r="H415" t="str">
            <v>10K Ω</v>
          </cell>
          <cell r="I415" t="str">
            <v>ANY</v>
          </cell>
          <cell r="J415" t="str">
            <v>PHP</v>
          </cell>
          <cell r="K415">
            <v>2</v>
          </cell>
          <cell r="L415" t="str">
            <v>PC</v>
          </cell>
          <cell r="M415" t="str">
            <v>Mr. Mark Agno</v>
          </cell>
          <cell r="N415" t="str">
            <v>Maintenance Parts &amp; Supplies</v>
          </cell>
        </row>
        <row r="416">
          <cell r="E416" t="str">
            <v>JIG26-02-0106 SEMITEC AED8</v>
          </cell>
          <cell r="F416" t="str">
            <v>JIG</v>
          </cell>
          <cell r="G416" t="str">
            <v>SOLENOID VALVE 24V</v>
          </cell>
          <cell r="H416" t="str">
            <v>SY3120-5LZD-M5</v>
          </cell>
          <cell r="I416" t="str">
            <v>ANY</v>
          </cell>
          <cell r="J416" t="str">
            <v>PHP</v>
          </cell>
          <cell r="K416">
            <v>1500</v>
          </cell>
          <cell r="L416" t="str">
            <v>PC</v>
          </cell>
          <cell r="M416" t="str">
            <v>Mr. Mark Agno</v>
          </cell>
          <cell r="N416" t="str">
            <v>Maintenance Parts &amp; Supplies</v>
          </cell>
        </row>
        <row r="417">
          <cell r="E417" t="str">
            <v>JIG26-02-0106 SEMITEC AED9</v>
          </cell>
          <cell r="F417" t="str">
            <v>JIG</v>
          </cell>
          <cell r="G417" t="str">
            <v>FITTINGS</v>
          </cell>
          <cell r="H417" t="str">
            <v>KQ2S04-M5A</v>
          </cell>
          <cell r="I417" t="str">
            <v>ANY</v>
          </cell>
          <cell r="J417" t="str">
            <v>PHP</v>
          </cell>
          <cell r="K417">
            <v>184</v>
          </cell>
          <cell r="L417" t="str">
            <v>PC</v>
          </cell>
          <cell r="M417" t="str">
            <v>Mr. Mark Agno</v>
          </cell>
          <cell r="N417" t="str">
            <v>Maintenance Parts &amp; Supplies</v>
          </cell>
        </row>
        <row r="418">
          <cell r="E418" t="str">
            <v>JIG26-02-0106 SEMITEC AED10</v>
          </cell>
          <cell r="G418" t="str">
            <v>FITTINGS</v>
          </cell>
          <cell r="H418" t="str">
            <v>AS1201F-M3-04A</v>
          </cell>
          <cell r="I418" t="str">
            <v>ANY</v>
          </cell>
          <cell r="J418" t="str">
            <v>PHP</v>
          </cell>
          <cell r="K418">
            <v>275</v>
          </cell>
          <cell r="L418" t="str">
            <v>PC</v>
          </cell>
          <cell r="M418" t="str">
            <v>Mr. Mark Agno</v>
          </cell>
          <cell r="N418" t="str">
            <v>Maintenance Parts &amp; Supplies</v>
          </cell>
        </row>
        <row r="419">
          <cell r="E419" t="str">
            <v>JIG26-02-0106 SEMITEC AED11</v>
          </cell>
          <cell r="G419" t="str">
            <v>CYLINDER</v>
          </cell>
          <cell r="H419" t="str">
            <v>CUJB10-15DM</v>
          </cell>
          <cell r="I419" t="str">
            <v>ANY</v>
          </cell>
          <cell r="J419" t="str">
            <v>PHP</v>
          </cell>
          <cell r="K419">
            <v>1400</v>
          </cell>
          <cell r="L419" t="str">
            <v>PC</v>
          </cell>
          <cell r="M419" t="str">
            <v>Mr. Mark Agno</v>
          </cell>
          <cell r="N419" t="str">
            <v>Maintenance Parts &amp; Supplies</v>
          </cell>
        </row>
        <row r="420">
          <cell r="E420" t="str">
            <v>JIG26-02-0106 SEMITEC AED12</v>
          </cell>
          <cell r="G420" t="str">
            <v>SPLITTER</v>
          </cell>
          <cell r="H420" t="str">
            <v>KQ2U04-00A</v>
          </cell>
          <cell r="I420" t="str">
            <v>ANY</v>
          </cell>
          <cell r="J420" t="str">
            <v>PHP</v>
          </cell>
          <cell r="K420">
            <v>140</v>
          </cell>
          <cell r="L420" t="str">
            <v>PC</v>
          </cell>
          <cell r="M420" t="str">
            <v>Mr. Mark Agno</v>
          </cell>
          <cell r="N420" t="str">
            <v>Maintenance Parts &amp; Supplies</v>
          </cell>
        </row>
        <row r="421">
          <cell r="E421" t="str">
            <v>JIG26-02-0106 SEMITEC AED13</v>
          </cell>
          <cell r="G421" t="str">
            <v>MAGNETIC SENSOR (REED SWITCH)</v>
          </cell>
          <cell r="H421" t="str">
            <v>PS-3150</v>
          </cell>
          <cell r="I421" t="str">
            <v>NESAS</v>
          </cell>
          <cell r="J421" t="str">
            <v>PHP</v>
          </cell>
          <cell r="K421">
            <v>130</v>
          </cell>
          <cell r="L421" t="str">
            <v>PC</v>
          </cell>
          <cell r="M421" t="str">
            <v>Mr. Mark Agno</v>
          </cell>
          <cell r="N421" t="str">
            <v>Maintenance Parts &amp; Supplies</v>
          </cell>
        </row>
        <row r="422">
          <cell r="E422" t="str">
            <v>JIG26-02-0106 SEMITEC AED14</v>
          </cell>
          <cell r="G422" t="str">
            <v>MINI BUZZER</v>
          </cell>
          <cell r="H422" t="str">
            <v>-</v>
          </cell>
          <cell r="I422" t="str">
            <v>ANY</v>
          </cell>
          <cell r="J422" t="str">
            <v>PHP</v>
          </cell>
          <cell r="K422">
            <v>55</v>
          </cell>
          <cell r="L422" t="str">
            <v>PC</v>
          </cell>
          <cell r="M422" t="str">
            <v>Mr. Mark Agno</v>
          </cell>
          <cell r="N422" t="str">
            <v>Maintenance Parts &amp; Supplies</v>
          </cell>
        </row>
        <row r="423">
          <cell r="E423" t="str">
            <v>JIG26-02-0107 JIG OFFICE SUPPLIES1</v>
          </cell>
          <cell r="F423" t="str">
            <v>JIG OFFICE SUPPLIES</v>
          </cell>
          <cell r="G423" t="str">
            <v>DMC DIGITAL COUNTING JIG</v>
          </cell>
          <cell r="H423" t="str">
            <v>Q24FC-0006 (REV.03)</v>
          </cell>
          <cell r="I423" t="str">
            <v>ANY</v>
          </cell>
          <cell r="J423" t="str">
            <v>PHP</v>
          </cell>
          <cell r="K423">
            <v>310</v>
          </cell>
          <cell r="L423" t="str">
            <v>REAM</v>
          </cell>
          <cell r="M423" t="str">
            <v>Mr. Mark Agno</v>
          </cell>
          <cell r="N423" t="str">
            <v>Office Supplies Expense Expense</v>
          </cell>
        </row>
        <row r="424">
          <cell r="E424" t="str">
            <v>JIG26-02-0107 JIG OFFICE SUPPLIES2</v>
          </cell>
          <cell r="F424" t="e">
            <v>#REF!</v>
          </cell>
          <cell r="G424" t="str">
            <v>DMC YATAI AND U-LINE</v>
          </cell>
          <cell r="H424" t="str">
            <v>Q24FC-0003 (REV.NO. 13)</v>
          </cell>
          <cell r="I424" t="str">
            <v>ANY</v>
          </cell>
          <cell r="J424" t="str">
            <v>PHP</v>
          </cell>
          <cell r="K424">
            <v>310</v>
          </cell>
          <cell r="L424" t="str">
            <v>REAM</v>
          </cell>
          <cell r="M424" t="str">
            <v>Mr. Mark Agno</v>
          </cell>
          <cell r="N424" t="str">
            <v>Office Supplies Expense Expense</v>
          </cell>
        </row>
        <row r="425">
          <cell r="E425" t="str">
            <v>JIG26-02-0107 JIG OFFICE SUPPLIES3</v>
          </cell>
          <cell r="F425" t="str">
            <v>JIG</v>
          </cell>
          <cell r="G425" t="str">
            <v>DMC INSERTION JIG</v>
          </cell>
          <cell r="H425" t="str">
            <v>Q24FC-0018 (REV. NO. 10)</v>
          </cell>
          <cell r="I425" t="str">
            <v>ANY</v>
          </cell>
          <cell r="J425" t="str">
            <v>PHP</v>
          </cell>
          <cell r="K425">
            <v>310</v>
          </cell>
          <cell r="L425" t="str">
            <v>REAM</v>
          </cell>
          <cell r="M425" t="str">
            <v>Mr. Mark Agno</v>
          </cell>
          <cell r="N425" t="str">
            <v>Office Supplies Expense Expense</v>
          </cell>
        </row>
        <row r="426">
          <cell r="E426" t="str">
            <v>JIG26-02-0106 COMMON MATERIALS1</v>
          </cell>
          <cell r="F426" t="str">
            <v>JIG</v>
          </cell>
          <cell r="G426" t="str">
            <v>TIMER</v>
          </cell>
          <cell r="H426" t="str">
            <v>H3Y 24V/5 SEC. (ALTERNATIVE)</v>
          </cell>
          <cell r="I426" t="str">
            <v>VLCR</v>
          </cell>
          <cell r="J426" t="str">
            <v>PHP</v>
          </cell>
          <cell r="K426">
            <v>550</v>
          </cell>
          <cell r="L426" t="str">
            <v>SET</v>
          </cell>
          <cell r="M426" t="str">
            <v>Mr. Mark Agno</v>
          </cell>
          <cell r="N426" t="str">
            <v>Maintenance Parts &amp; Supplies</v>
          </cell>
        </row>
        <row r="427">
          <cell r="E427" t="str">
            <v>JIG26-02-0107 COMMON MATERIALS1</v>
          </cell>
          <cell r="F427" t="str">
            <v>JIG</v>
          </cell>
          <cell r="G427" t="str">
            <v>DIODE</v>
          </cell>
          <cell r="H427" t="str">
            <v>IN4001</v>
          </cell>
          <cell r="I427" t="str">
            <v>ANY</v>
          </cell>
          <cell r="J427" t="str">
            <v>PHP</v>
          </cell>
          <cell r="K427">
            <v>5</v>
          </cell>
          <cell r="L427" t="str">
            <v>PC</v>
          </cell>
          <cell r="M427" t="str">
            <v>Mr. Mark Agno</v>
          </cell>
          <cell r="N427" t="str">
            <v>Maintenance Parts &amp; Supplies</v>
          </cell>
        </row>
        <row r="428">
          <cell r="E428" t="str">
            <v>JIG26-02-0107 COMMON MATERIALS2</v>
          </cell>
          <cell r="G428" t="str">
            <v>TRANSISTOR</v>
          </cell>
          <cell r="H428" t="str">
            <v>2N5060</v>
          </cell>
          <cell r="I428" t="str">
            <v>ANY</v>
          </cell>
          <cell r="J428" t="str">
            <v>PHP</v>
          </cell>
          <cell r="K428">
            <v>19</v>
          </cell>
          <cell r="L428" t="str">
            <v>PC</v>
          </cell>
          <cell r="M428" t="str">
            <v>Mr. Mark Agno</v>
          </cell>
          <cell r="N428" t="str">
            <v>Maintenance Parts &amp; Supplies</v>
          </cell>
        </row>
        <row r="429">
          <cell r="E429" t="str">
            <v>JIG26-02-00108 ZDJ-1001</v>
          </cell>
          <cell r="G429" t="str">
            <v>FIXED CABLE TIE MOLD</v>
          </cell>
          <cell r="H429" t="str">
            <v>ZDJ-100</v>
          </cell>
          <cell r="I429" t="str">
            <v>SHENZHEN</v>
          </cell>
          <cell r="J429" t="str">
            <v>$</v>
          </cell>
          <cell r="K429">
            <v>1300</v>
          </cell>
          <cell r="L429" t="str">
            <v>PC</v>
          </cell>
          <cell r="M429" t="str">
            <v>Mr. Mark Agno</v>
          </cell>
          <cell r="N429" t="str">
            <v>Maintenance Parts &amp; Supplies</v>
          </cell>
        </row>
        <row r="430">
          <cell r="E430" t="str">
            <v>JIG26-02-0109 COMMON MATERIALS1</v>
          </cell>
          <cell r="F430" t="str">
            <v>JIG</v>
          </cell>
          <cell r="G430" t="str">
            <v>CREALITY HYPER PLA (BLACK)</v>
          </cell>
          <cell r="H430" t="str">
            <v>FILAMENT 1.75MM</v>
          </cell>
          <cell r="I430" t="str">
            <v>ANY</v>
          </cell>
          <cell r="J430" t="str">
            <v>PHP</v>
          </cell>
          <cell r="K430">
            <v>1600</v>
          </cell>
          <cell r="L430" t="str">
            <v>PC</v>
          </cell>
          <cell r="M430" t="str">
            <v>Ms. Carla</v>
          </cell>
          <cell r="N430" t="str">
            <v>Maintenance Parts &amp; Supplies</v>
          </cell>
        </row>
        <row r="431">
          <cell r="E431" t="str">
            <v>JIG26-02-0110 COMMON MATERIALS1</v>
          </cell>
          <cell r="F431" t="str">
            <v>JIG</v>
          </cell>
          <cell r="G431" t="str">
            <v>R-HOHRBK000286 (HOUSING MATE)</v>
          </cell>
          <cell r="H431" t="str">
            <v>DF11-22DS-2C BLACK</v>
          </cell>
          <cell r="I431" t="str">
            <v>HIROSE</v>
          </cell>
          <cell r="J431" t="str">
            <v>¥</v>
          </cell>
          <cell r="K431">
            <v>5.85</v>
          </cell>
          <cell r="L431" t="str">
            <v>PC</v>
          </cell>
          <cell r="M431" t="str">
            <v>Ms. Villanueva</v>
          </cell>
          <cell r="N431" t="str">
            <v>Maintenance Parts &amp; Supplies</v>
          </cell>
        </row>
        <row r="432">
          <cell r="E432" t="str">
            <v>JIG26-02-0110 COMMON MATERIALS2</v>
          </cell>
          <cell r="F432" t="str">
            <v>JIG</v>
          </cell>
          <cell r="G432" t="str">
            <v>R-HOHRBK000274 (HOUSING MATE)</v>
          </cell>
          <cell r="H432" t="str">
            <v>DF11-12DS-2C BLACK</v>
          </cell>
          <cell r="I432" t="str">
            <v>HIROSE</v>
          </cell>
          <cell r="J432" t="str">
            <v>¥</v>
          </cell>
          <cell r="K432">
            <v>4.5</v>
          </cell>
          <cell r="L432" t="str">
            <v>PC</v>
          </cell>
          <cell r="M432" t="str">
            <v>Ms. Villanueva</v>
          </cell>
          <cell r="N432" t="str">
            <v>Maintenance Parts &amp; Supplies</v>
          </cell>
        </row>
        <row r="433">
          <cell r="E433" t="str">
            <v>JIG26-02-0111 COMMON MATERIALS1</v>
          </cell>
          <cell r="F433" t="str">
            <v>JIG</v>
          </cell>
          <cell r="G433" t="str">
            <v>TFT TOUCHSCREEN</v>
          </cell>
          <cell r="H433" t="str">
            <v>3.5" TFT LCD</v>
          </cell>
          <cell r="I433" t="str">
            <v>ANY</v>
          </cell>
          <cell r="J433" t="str">
            <v>PHP</v>
          </cell>
          <cell r="K433">
            <v>1500</v>
          </cell>
          <cell r="L433" t="str">
            <v>PC</v>
          </cell>
          <cell r="M433" t="str">
            <v>Mr. Mark Agno</v>
          </cell>
          <cell r="N433" t="str">
            <v>Maintenance Parts &amp; Supplies</v>
          </cell>
        </row>
        <row r="434">
          <cell r="E434" t="str">
            <v>JIG26-02-0112 COMMON MATERIALS1</v>
          </cell>
          <cell r="F434" t="str">
            <v>JIG</v>
          </cell>
          <cell r="G434" t="str">
            <v>HOOK SCREW GOLD</v>
          </cell>
          <cell r="H434" t="str">
            <v>1 INCH 1/4</v>
          </cell>
          <cell r="I434" t="str">
            <v>ANY</v>
          </cell>
          <cell r="J434" t="str">
            <v>PHP</v>
          </cell>
          <cell r="K434">
            <v>8</v>
          </cell>
          <cell r="L434" t="str">
            <v>PC</v>
          </cell>
          <cell r="M434" t="str">
            <v>Ms. Carla</v>
          </cell>
          <cell r="N434" t="str">
            <v>Maintenance Parts &amp; Supplies</v>
          </cell>
        </row>
        <row r="435">
          <cell r="E435" t="str">
            <v>JIG26-02-0113 COMMON MATERIALS1</v>
          </cell>
          <cell r="F435" t="str">
            <v>JIG</v>
          </cell>
          <cell r="G435" t="str">
            <v>GEAR BOX MOTOR</v>
          </cell>
          <cell r="H435" t="str">
            <v>12 VOLTS</v>
          </cell>
          <cell r="I435" t="str">
            <v>ANY</v>
          </cell>
          <cell r="J435" t="str">
            <v>PHP</v>
          </cell>
          <cell r="K435">
            <v>598</v>
          </cell>
          <cell r="L435" t="str">
            <v>PC</v>
          </cell>
          <cell r="M435" t="str">
            <v>Mr. Mark Agno</v>
          </cell>
          <cell r="N435" t="str">
            <v>Maintenance Parts &amp; Supplies</v>
          </cell>
        </row>
        <row r="436">
          <cell r="E436" t="str">
            <v>JIG26-02-0114 COMMON MATERIALS1</v>
          </cell>
          <cell r="F436" t="str">
            <v>JIG</v>
          </cell>
          <cell r="G436" t="str">
            <v>STAINLESS ALLEN BOLTS AND NUTS WITH WASHER</v>
          </cell>
          <cell r="H436" t="str">
            <v>M6 X 12MM</v>
          </cell>
          <cell r="I436" t="str">
            <v>ANY</v>
          </cell>
          <cell r="J436" t="str">
            <v>PHP</v>
          </cell>
          <cell r="K436">
            <v>5.85</v>
          </cell>
          <cell r="L436" t="str">
            <v>PC</v>
          </cell>
          <cell r="M436" t="str">
            <v>Mr. Mark Agno</v>
          </cell>
          <cell r="N436" t="str">
            <v>Maintenance Parts &amp; Supplies</v>
          </cell>
        </row>
        <row r="437">
          <cell r="E437" t="str">
            <v>JIG26-02-0115 COMMON MATERIALS1</v>
          </cell>
          <cell r="F437" t="str">
            <v>JIG</v>
          </cell>
          <cell r="G437" t="str">
            <v>FITTINGS</v>
          </cell>
          <cell r="H437" t="str">
            <v>PC6-M10*1.25</v>
          </cell>
          <cell r="I437" t="str">
            <v>SHOPEE</v>
          </cell>
          <cell r="J437" t="str">
            <v>PHP</v>
          </cell>
          <cell r="K437">
            <v>34</v>
          </cell>
          <cell r="L437" t="str">
            <v>PC</v>
          </cell>
          <cell r="M437" t="str">
            <v>Ms. Carla</v>
          </cell>
          <cell r="N437" t="str">
            <v>Maintenance Parts &amp; Supplies</v>
          </cell>
        </row>
        <row r="438">
          <cell r="E438" t="str">
            <v>JIG26-02-0116 COMMON MATERIALS1</v>
          </cell>
          <cell r="F438" t="str">
            <v>JIG</v>
          </cell>
          <cell r="G438" t="str">
            <v>ACETAL SHEETS</v>
          </cell>
          <cell r="H438" t="str">
            <v>15MM X 1FT X 1FT</v>
          </cell>
          <cell r="I438" t="str">
            <v>LAZADA</v>
          </cell>
          <cell r="J438" t="str">
            <v>PHP</v>
          </cell>
          <cell r="K438">
            <v>1900</v>
          </cell>
          <cell r="L438" t="str">
            <v>PC</v>
          </cell>
          <cell r="M438" t="str">
            <v>Ms. Carla</v>
          </cell>
          <cell r="N438" t="str">
            <v>Maintenance Parts &amp; Supplies</v>
          </cell>
        </row>
        <row r="439">
          <cell r="E439" t="str">
            <v>JIG26-02-0116 COMMON MATERIALS2</v>
          </cell>
          <cell r="F439" t="str">
            <v>JIG</v>
          </cell>
          <cell r="G439" t="str">
            <v>ACETAL SHEETS</v>
          </cell>
          <cell r="H439" t="str">
            <v>30MM X 1FT X 1FT</v>
          </cell>
          <cell r="I439" t="str">
            <v>LAZADA</v>
          </cell>
          <cell r="J439" t="str">
            <v>PHP</v>
          </cell>
          <cell r="K439">
            <v>3940</v>
          </cell>
          <cell r="L439" t="str">
            <v>PC</v>
          </cell>
          <cell r="M439" t="str">
            <v>Ms. Carla</v>
          </cell>
          <cell r="N439" t="str">
            <v>Maintenance Parts &amp; Supplies</v>
          </cell>
        </row>
        <row r="440">
          <cell r="E440" t="str">
            <v>JIG26-02-0116 COMMON MATERIALS3</v>
          </cell>
          <cell r="F440" t="str">
            <v>JIG</v>
          </cell>
          <cell r="G440" t="str">
            <v>ACETAL SHEETS</v>
          </cell>
          <cell r="H440" t="str">
            <v>3MM 1FT X 1FT</v>
          </cell>
          <cell r="I440" t="str">
            <v>LAZADA</v>
          </cell>
          <cell r="J440" t="str">
            <v>PHP</v>
          </cell>
          <cell r="K440">
            <v>1070</v>
          </cell>
          <cell r="L440" t="str">
            <v>PC</v>
          </cell>
          <cell r="M440" t="str">
            <v>Ms. Carla</v>
          </cell>
          <cell r="N440" t="str">
            <v>Maintenance Parts &amp; Supplies</v>
          </cell>
        </row>
        <row r="441">
          <cell r="E441" t="str">
            <v>JIG26-02-0116 COMMON MATERIALS4</v>
          </cell>
          <cell r="F441" t="str">
            <v>JIG</v>
          </cell>
          <cell r="G441" t="str">
            <v>ACETAL SHEETS</v>
          </cell>
          <cell r="H441" t="str">
            <v>6MM 1FT X 1FT</v>
          </cell>
          <cell r="I441" t="str">
            <v>ANY</v>
          </cell>
          <cell r="J441" t="str">
            <v>PHP</v>
          </cell>
          <cell r="K441">
            <v>1040</v>
          </cell>
          <cell r="L441" t="str">
            <v>PC</v>
          </cell>
          <cell r="M441" t="str">
            <v>Ms. Carla</v>
          </cell>
          <cell r="N441" t="str">
            <v>Maintenance Parts &amp; Supplies</v>
          </cell>
        </row>
        <row r="442">
          <cell r="E442" t="str">
            <v>JIG26-02-0116 COMMON MATERIALS5</v>
          </cell>
          <cell r="F442" t="str">
            <v>JIG</v>
          </cell>
          <cell r="G442" t="str">
            <v>ACETAL SHEETS</v>
          </cell>
          <cell r="H442" t="str">
            <v>10MM 1FT X 1FT</v>
          </cell>
          <cell r="I442" t="str">
            <v>ANY</v>
          </cell>
          <cell r="J442" t="str">
            <v>PHP</v>
          </cell>
          <cell r="K442">
            <v>1268</v>
          </cell>
          <cell r="L442" t="str">
            <v>PC</v>
          </cell>
          <cell r="M442" t="str">
            <v>Ms. Carla</v>
          </cell>
          <cell r="N442" t="str">
            <v>Maintenance Parts &amp; Supplies</v>
          </cell>
        </row>
        <row r="443">
          <cell r="E443" t="str">
            <v>JIG26-03-0001 TRP AOD1</v>
          </cell>
          <cell r="F443" t="str">
            <v>JIG</v>
          </cell>
          <cell r="G443" t="str">
            <v>HDMI VGA USB CAMERA</v>
          </cell>
          <cell r="H443" t="str">
            <v>48MP 4K YIZHAN</v>
          </cell>
          <cell r="I443" t="str">
            <v>LAZADA</v>
          </cell>
          <cell r="J443" t="str">
            <v>PHP</v>
          </cell>
          <cell r="K443">
            <v>7599</v>
          </cell>
          <cell r="L443" t="str">
            <v>PC</v>
          </cell>
          <cell r="M443" t="str">
            <v>Ms. Carla</v>
          </cell>
          <cell r="N443" t="str">
            <v>Maintenance Parts &amp; Supplies</v>
          </cell>
        </row>
        <row r="444">
          <cell r="E444" t="str">
            <v>JIG26-03-0002 COMMON MATERIALS1</v>
          </cell>
          <cell r="F444" t="str">
            <v>JIG</v>
          </cell>
          <cell r="G444" t="str">
            <v>TEFLON SHEET WHITE</v>
          </cell>
          <cell r="H444" t="str">
            <v>1FT X 1FT X 10MM</v>
          </cell>
          <cell r="I444" t="str">
            <v>ANY</v>
          </cell>
          <cell r="J444" t="str">
            <v>$</v>
          </cell>
          <cell r="K444">
            <v>104</v>
          </cell>
          <cell r="L444" t="str">
            <v>PC</v>
          </cell>
          <cell r="M444" t="str">
            <v>Ms. Carla</v>
          </cell>
          <cell r="N444" t="str">
            <v>Maintenance Parts &amp; Supplies</v>
          </cell>
        </row>
        <row r="445">
          <cell r="E445" t="str">
            <v>JIG26-03-0003 HARADA PHILS1</v>
          </cell>
          <cell r="F445" t="str">
            <v>JIG</v>
          </cell>
          <cell r="G445" t="str">
            <v>CYLINDER THREE AXIS</v>
          </cell>
          <cell r="H445" t="str">
            <v>MGPM50-100Z</v>
          </cell>
          <cell r="I445" t="str">
            <v>ANY</v>
          </cell>
          <cell r="J445" t="str">
            <v>PHP</v>
          </cell>
          <cell r="K445">
            <v>4237</v>
          </cell>
          <cell r="L445" t="str">
            <v>PC</v>
          </cell>
          <cell r="M445" t="str">
            <v>Ms. Che Manipol</v>
          </cell>
          <cell r="N445" t="str">
            <v>Maintenance Parts &amp; Supplies</v>
          </cell>
        </row>
        <row r="446">
          <cell r="E446" t="str">
            <v>JIG26-03-0004 COMMON MATERIALS1</v>
          </cell>
          <cell r="F446" t="str">
            <v>JIG</v>
          </cell>
          <cell r="G446" t="str">
            <v>LINEAR GUIDE</v>
          </cell>
          <cell r="H446" t="str">
            <v>E-GMLG9-75</v>
          </cell>
          <cell r="I446" t="str">
            <v>RASO</v>
          </cell>
          <cell r="J446" t="str">
            <v>PHP</v>
          </cell>
          <cell r="K446">
            <v>540</v>
          </cell>
          <cell r="L446" t="str">
            <v>PC</v>
          </cell>
          <cell r="M446" t="str">
            <v>Mr. Mark Agno</v>
          </cell>
          <cell r="N446" t="str">
            <v>Maintenance Parts &amp; Supplies</v>
          </cell>
        </row>
        <row r="447">
          <cell r="E447" t="str">
            <v>JIG26-03-0005 COMMON MATERIALS1</v>
          </cell>
          <cell r="G447" t="str">
            <v>STAINLESS ALLEN BOLTS AND NUTS WITH WASHER</v>
          </cell>
          <cell r="H447" t="str">
            <v>M5 X 35MM</v>
          </cell>
          <cell r="I447" t="str">
            <v>ANY</v>
          </cell>
          <cell r="J447" t="str">
            <v>PHP</v>
          </cell>
          <cell r="K447">
            <v>7.55</v>
          </cell>
          <cell r="L447" t="str">
            <v>PC</v>
          </cell>
          <cell r="M447" t="str">
            <v>Ms. Carla</v>
          </cell>
          <cell r="N447" t="str">
            <v>Maintenance Parts &amp; Supplies</v>
          </cell>
        </row>
        <row r="448">
          <cell r="E448" t="str">
            <v>JIG26-03-0006 SEMITEC 8 AED1</v>
          </cell>
          <cell r="G448" t="str">
            <v>ALL IN MODIFICATION</v>
          </cell>
          <cell r="H448" t="str">
            <v>SEMITEC AUTO EJECTOR</v>
          </cell>
          <cell r="I448" t="str">
            <v>NESAS</v>
          </cell>
          <cell r="J448" t="str">
            <v>PHP</v>
          </cell>
          <cell r="K448">
            <v>78210</v>
          </cell>
          <cell r="L448" t="str">
            <v>PC</v>
          </cell>
          <cell r="M448" t="str">
            <v>Mr. Mark Agno</v>
          </cell>
          <cell r="N448" t="str">
            <v>Maintenance Parts &amp; Supplies</v>
          </cell>
        </row>
        <row r="449">
          <cell r="E449" t="str">
            <v>JIG26-03-0007 SEMITEC AED GE-18011A 1</v>
          </cell>
          <cell r="F449" t="str">
            <v>JIG</v>
          </cell>
          <cell r="G449" t="str">
            <v>AMPLIFIER WITH FIBER OPTIC</v>
          </cell>
          <cell r="H449" t="str">
            <v>PC1-NH</v>
          </cell>
          <cell r="I449" t="str">
            <v>AKUSENSE</v>
          </cell>
          <cell r="J449" t="str">
            <v>PHP</v>
          </cell>
          <cell r="K449">
            <v>3539.25</v>
          </cell>
          <cell r="L449" t="str">
            <v>PC</v>
          </cell>
          <cell r="M449" t="str">
            <v>Mr. Mark Agno</v>
          </cell>
          <cell r="N449" t="str">
            <v>Maintenance Parts &amp; Supplies</v>
          </cell>
        </row>
        <row r="450">
          <cell r="E450" t="str">
            <v>JIG26-03-0007 SEMITEC AED GE-18011A 2</v>
          </cell>
          <cell r="F450" t="str">
            <v>JIG</v>
          </cell>
          <cell r="G450" t="str">
            <v>TIMER</v>
          </cell>
          <cell r="H450" t="str">
            <v>H3Y 110V/5 SEC. (ALTERNATIVE)</v>
          </cell>
          <cell r="I450" t="str">
            <v>VLCR</v>
          </cell>
          <cell r="J450" t="str">
            <v>PHP</v>
          </cell>
          <cell r="K450">
            <v>550</v>
          </cell>
          <cell r="L450" t="str">
            <v>SET</v>
          </cell>
          <cell r="M450" t="str">
            <v>Mr. Mark Agno</v>
          </cell>
          <cell r="N450" t="str">
            <v>Maintenance Parts &amp; Supplies</v>
          </cell>
        </row>
        <row r="451">
          <cell r="E451" t="str">
            <v>JIG26-03-0008 BASEPIN1</v>
          </cell>
          <cell r="F451" t="str">
            <v>JIG</v>
          </cell>
          <cell r="G451" t="str">
            <v>BASEPIN</v>
          </cell>
          <cell r="H451" t="str">
            <v xml:space="preserve">XG4A-3431 BLACK </v>
          </cell>
          <cell r="I451" t="str">
            <v>OMRON</v>
          </cell>
          <cell r="J451" t="str">
            <v>¥</v>
          </cell>
          <cell r="K451">
            <v>161.15</v>
          </cell>
          <cell r="L451" t="str">
            <v>PC</v>
          </cell>
          <cell r="M451" t="str">
            <v>Ms. Vicky</v>
          </cell>
          <cell r="N451" t="str">
            <v>Maintenance Parts &amp; Supplies</v>
          </cell>
        </row>
        <row r="452">
          <cell r="E452" t="str">
            <v>JIG26-03-0009 COMMON MATERIALS1</v>
          </cell>
          <cell r="F452" t="str">
            <v>JIG</v>
          </cell>
          <cell r="G452" t="str">
            <v>T-NUT HAMMER HEAD</v>
          </cell>
          <cell r="H452" t="str">
            <v>3030-M6</v>
          </cell>
          <cell r="I452" t="str">
            <v>SHOPEE</v>
          </cell>
          <cell r="J452" t="str">
            <v>PHP</v>
          </cell>
          <cell r="K452">
            <v>78</v>
          </cell>
          <cell r="L452" t="str">
            <v>PACK</v>
          </cell>
          <cell r="M452" t="str">
            <v>Ms. Carla</v>
          </cell>
          <cell r="N452" t="str">
            <v>Maintenance Parts &amp; Supplies</v>
          </cell>
        </row>
        <row r="453">
          <cell r="E453" t="str">
            <v>JIG26-03-0010 DENSO AED1</v>
          </cell>
          <cell r="F453" t="str">
            <v>JIG</v>
          </cell>
          <cell r="G453" t="str">
            <v>TIMING BELT</v>
          </cell>
          <cell r="H453" t="str">
            <v>(GT2-6MM)-20 METERS</v>
          </cell>
          <cell r="I453" t="str">
            <v>SHOPEE</v>
          </cell>
          <cell r="J453" t="str">
            <v>PHP</v>
          </cell>
          <cell r="K453">
            <v>585</v>
          </cell>
          <cell r="L453" t="str">
            <v>PC</v>
          </cell>
          <cell r="M453" t="str">
            <v>Ms. Carla</v>
          </cell>
          <cell r="N453" t="str">
            <v>Maintenance Parts &amp; Supplies</v>
          </cell>
        </row>
        <row r="454">
          <cell r="E454" t="str">
            <v>JIG26-03-0010 DENSO AED2</v>
          </cell>
          <cell r="F454" t="str">
            <v>JIG</v>
          </cell>
          <cell r="G454" t="str">
            <v>GANTRY PLATE WITH WHEELS</v>
          </cell>
          <cell r="H454" t="str">
            <v>V-SLOT GANTRY SET20-80MM (BLACK)</v>
          </cell>
          <cell r="I454" t="str">
            <v>SHOPEE</v>
          </cell>
          <cell r="J454" t="str">
            <v>PHP</v>
          </cell>
          <cell r="K454">
            <v>485</v>
          </cell>
          <cell r="L454" t="str">
            <v>SET</v>
          </cell>
          <cell r="M454" t="str">
            <v>Ms. Carla</v>
          </cell>
          <cell r="N454" t="str">
            <v>Maintenance Parts &amp; Supplies</v>
          </cell>
        </row>
        <row r="455">
          <cell r="E455" t="str">
            <v>JIG26-03-0010 DENSO AED3</v>
          </cell>
          <cell r="F455" t="str">
            <v>JIG</v>
          </cell>
          <cell r="G455" t="str">
            <v>OPENBUILDS SPECIAL SLIDE PLATE</v>
          </cell>
          <cell r="H455" t="str">
            <v>20MM</v>
          </cell>
          <cell r="I455" t="str">
            <v>SHOPEE</v>
          </cell>
          <cell r="J455" t="str">
            <v>PHP</v>
          </cell>
          <cell r="K455">
            <v>265</v>
          </cell>
          <cell r="L455" t="str">
            <v>PC</v>
          </cell>
          <cell r="M455" t="str">
            <v>Ms. Carla</v>
          </cell>
          <cell r="N455" t="str">
            <v>Maintenance Parts &amp; Supplies</v>
          </cell>
        </row>
        <row r="456">
          <cell r="E456" t="str">
            <v>JIG26-03-0010 DENSO AED4</v>
          </cell>
          <cell r="F456" t="str">
            <v>JIG</v>
          </cell>
          <cell r="G456" t="str">
            <v>SYNCHRONOUS BELT STRETCH S TENSIONER</v>
          </cell>
          <cell r="H456" t="str">
            <v>2020 LONG</v>
          </cell>
          <cell r="I456" t="str">
            <v>SHOPEE</v>
          </cell>
          <cell r="J456" t="str">
            <v>PHP</v>
          </cell>
          <cell r="K456">
            <v>447</v>
          </cell>
          <cell r="L456" t="str">
            <v>PC</v>
          </cell>
          <cell r="M456" t="str">
            <v>Ms. Carla</v>
          </cell>
          <cell r="N456" t="str">
            <v>Maintenance Parts &amp; Supplies</v>
          </cell>
        </row>
        <row r="457">
          <cell r="E457" t="str">
            <v>JIG26-03-0010 DENSO AED5</v>
          </cell>
          <cell r="F457" t="str">
            <v>JIG</v>
          </cell>
          <cell r="G457" t="str">
            <v>TIMING BELT PULLEY</v>
          </cell>
          <cell r="H457" t="str">
            <v>48T-B6.35-W6</v>
          </cell>
          <cell r="I457" t="str">
            <v>SHOPEE</v>
          </cell>
          <cell r="J457" t="str">
            <v>PHP</v>
          </cell>
          <cell r="K457">
            <v>289</v>
          </cell>
          <cell r="L457" t="str">
            <v>PC</v>
          </cell>
          <cell r="M457" t="str">
            <v>Ms. Carla</v>
          </cell>
          <cell r="N457" t="str">
            <v>Maintenance Parts &amp; Supplies</v>
          </cell>
        </row>
        <row r="458">
          <cell r="E458" t="str">
            <v>JIG26-03-0010 DENSO AED6</v>
          </cell>
          <cell r="F458" t="str">
            <v>JIG</v>
          </cell>
          <cell r="G458" t="str">
            <v>TIMING BELT PULLEY</v>
          </cell>
          <cell r="H458" t="str">
            <v>40T-B6.35-W6</v>
          </cell>
          <cell r="I458" t="str">
            <v>SHOPEE</v>
          </cell>
          <cell r="J458" t="str">
            <v>PHP</v>
          </cell>
          <cell r="K458">
            <v>289</v>
          </cell>
          <cell r="L458" t="str">
            <v>PC</v>
          </cell>
          <cell r="M458" t="str">
            <v>Ms. Carla</v>
          </cell>
          <cell r="N458" t="str">
            <v>Maintenance Parts &amp; Supplies</v>
          </cell>
        </row>
        <row r="459">
          <cell r="E459" t="str">
            <v>JIG26-03-0010 DENSO AED7</v>
          </cell>
          <cell r="G459" t="str">
            <v>PANASONIC PLC</v>
          </cell>
          <cell r="H459" t="str">
            <v>BRAND NEW</v>
          </cell>
          <cell r="I459" t="str">
            <v>NESAS</v>
          </cell>
          <cell r="J459" t="str">
            <v>PHP</v>
          </cell>
          <cell r="K459">
            <v>9801</v>
          </cell>
          <cell r="L459" t="str">
            <v>PC</v>
          </cell>
          <cell r="M459" t="str">
            <v>Mr. Mark Agno</v>
          </cell>
          <cell r="N459" t="str">
            <v>Maintenance Parts &amp; Supplies</v>
          </cell>
        </row>
        <row r="460">
          <cell r="E460" t="str">
            <v>JIG26-03-0011 MISWIRING TEAM1</v>
          </cell>
          <cell r="F460" t="str">
            <v>JIG</v>
          </cell>
          <cell r="G460" t="str">
            <v xml:space="preserve">PANASONIC PLC </v>
          </cell>
          <cell r="H460" t="str">
            <v>BRAND NEW</v>
          </cell>
          <cell r="I460" t="str">
            <v>NESAS</v>
          </cell>
          <cell r="J460" t="str">
            <v>PHP</v>
          </cell>
          <cell r="K460">
            <v>9801</v>
          </cell>
          <cell r="L460" t="str">
            <v>PC</v>
          </cell>
          <cell r="M460" t="str">
            <v>Mr. Mark Agno</v>
          </cell>
          <cell r="N460" t="str">
            <v>Maintenance Parts &amp; Supplies</v>
          </cell>
        </row>
        <row r="461">
          <cell r="E461" t="str">
            <v>JIG26-03-0011 MISWIRING TEAM2</v>
          </cell>
          <cell r="F461" t="str">
            <v>JIG</v>
          </cell>
          <cell r="G461" t="str">
            <v>SWITCHING INDUSTRIAL POWER SUPPLY</v>
          </cell>
          <cell r="H461" t="str">
            <v>24V/1A</v>
          </cell>
          <cell r="I461" t="str">
            <v>ANY</v>
          </cell>
          <cell r="J461" t="str">
            <v>PHP</v>
          </cell>
          <cell r="K461">
            <v>325</v>
          </cell>
          <cell r="L461" t="str">
            <v>PC</v>
          </cell>
          <cell r="M461" t="str">
            <v>Mr. Mark Agno</v>
          </cell>
          <cell r="N461" t="str">
            <v>Maintenance Parts &amp; Supplies</v>
          </cell>
        </row>
        <row r="462">
          <cell r="E462" t="str">
            <v>JIG26-03-0011 MISWIRING TEAM3</v>
          </cell>
          <cell r="F462" t="str">
            <v>JIG</v>
          </cell>
          <cell r="G462" t="str">
            <v>RELAY MODULE</v>
          </cell>
          <cell r="H462" t="str">
            <v>24V 6P</v>
          </cell>
          <cell r="I462" t="str">
            <v>ANY</v>
          </cell>
          <cell r="J462" t="str">
            <v>PHP</v>
          </cell>
          <cell r="K462">
            <v>170</v>
          </cell>
          <cell r="L462" t="str">
            <v>PC</v>
          </cell>
          <cell r="M462" t="str">
            <v>Mr. Mark Agno</v>
          </cell>
          <cell r="N462" t="str">
            <v>Maintenance Parts &amp; Supplies</v>
          </cell>
        </row>
        <row r="463">
          <cell r="E463" t="str">
            <v>JIG26-03-0011 MISWIRING TEAM4</v>
          </cell>
          <cell r="F463" t="str">
            <v>JIG</v>
          </cell>
          <cell r="G463" t="str">
            <v>ALEXAN BOX</v>
          </cell>
          <cell r="H463" t="str">
            <v>HC873</v>
          </cell>
          <cell r="I463" t="str">
            <v>ANY</v>
          </cell>
          <cell r="J463" t="str">
            <v>PHP</v>
          </cell>
          <cell r="K463">
            <v>260</v>
          </cell>
          <cell r="L463" t="str">
            <v>PC</v>
          </cell>
          <cell r="M463" t="str">
            <v>Mr. Mark Agno</v>
          </cell>
          <cell r="N463" t="str">
            <v>Maintenance Parts &amp; Supplies</v>
          </cell>
        </row>
        <row r="464">
          <cell r="E464" t="str">
            <v>JIG26-03-0011 MISWIRING TEAM5</v>
          </cell>
          <cell r="F464" t="str">
            <v>JIG</v>
          </cell>
          <cell r="G464" t="str">
            <v>LINEAR GUIDE</v>
          </cell>
          <cell r="H464" t="str">
            <v>E-GMLG9-75</v>
          </cell>
          <cell r="I464" t="str">
            <v>RASO</v>
          </cell>
          <cell r="J464" t="str">
            <v>PHP</v>
          </cell>
          <cell r="K464">
            <v>540</v>
          </cell>
          <cell r="L464" t="str">
            <v>PC</v>
          </cell>
          <cell r="M464" t="str">
            <v>Mr. Mark Agno</v>
          </cell>
          <cell r="N464" t="str">
            <v>Maintenance Parts &amp; Supplies</v>
          </cell>
        </row>
        <row r="465">
          <cell r="E465" t="str">
            <v>JIG26-03-0011 MISWIRING TEAM6</v>
          </cell>
          <cell r="F465" t="str">
            <v>JIG</v>
          </cell>
          <cell r="G465" t="str">
            <v>MICRO LINEAR ACTUATOR</v>
          </cell>
          <cell r="H465" t="str">
            <v>30MM</v>
          </cell>
          <cell r="I465" t="str">
            <v>ANY</v>
          </cell>
          <cell r="J465" t="str">
            <v>PHP</v>
          </cell>
          <cell r="K465">
            <v>1390.04</v>
          </cell>
          <cell r="L465" t="str">
            <v>PC</v>
          </cell>
          <cell r="M465" t="str">
            <v>Ms. Carla</v>
          </cell>
          <cell r="N465" t="str">
            <v>Maintenance Parts &amp; Supplies</v>
          </cell>
        </row>
        <row r="466">
          <cell r="E466" t="str">
            <v>JIG26-03-0012 COMMON MATERIALS1</v>
          </cell>
          <cell r="G466" t="str">
            <v>MAGNET</v>
          </cell>
          <cell r="H466" t="str">
            <v>10MM X 10MM X 2MM</v>
          </cell>
          <cell r="I466" t="str">
            <v>ANY</v>
          </cell>
          <cell r="J466" t="str">
            <v>PHP</v>
          </cell>
          <cell r="K466">
            <v>16</v>
          </cell>
          <cell r="L466" t="str">
            <v>PC</v>
          </cell>
          <cell r="M466" t="str">
            <v>Ms. Carla</v>
          </cell>
          <cell r="N466" t="str">
            <v>Maintenance Parts &amp; Supplies</v>
          </cell>
        </row>
        <row r="467">
          <cell r="E467" t="str">
            <v>JIG26-03-0013 COMMON MATERIALS1</v>
          </cell>
          <cell r="F467" t="str">
            <v>JIG</v>
          </cell>
          <cell r="G467" t="str">
            <v>ACRYLIC</v>
          </cell>
          <cell r="H467" t="str">
            <v>6MM 8FT X 4FT</v>
          </cell>
          <cell r="I467" t="str">
            <v>ANY</v>
          </cell>
          <cell r="J467" t="str">
            <v>PHP</v>
          </cell>
          <cell r="K467">
            <v>4000</v>
          </cell>
          <cell r="L467" t="str">
            <v>PC</v>
          </cell>
          <cell r="M467" t="str">
            <v>Mr. Mark Agno</v>
          </cell>
          <cell r="N467" t="str">
            <v>Maintenance Parts &amp; Supplies</v>
          </cell>
        </row>
        <row r="468">
          <cell r="E468" t="str">
            <v>JIG26-03-0013 COMMON MATERIALS2</v>
          </cell>
          <cell r="F468" t="str">
            <v>JIG</v>
          </cell>
          <cell r="G468" t="str">
            <v>ACRYLIC DIFFUSER</v>
          </cell>
          <cell r="H468" t="str">
            <v>WHITE 2MM X 4FT X 8FT</v>
          </cell>
          <cell r="I468" t="str">
            <v>ANY</v>
          </cell>
          <cell r="J468" t="str">
            <v>PHP</v>
          </cell>
          <cell r="K468">
            <v>1467</v>
          </cell>
          <cell r="L468" t="str">
            <v>PC</v>
          </cell>
          <cell r="M468" t="str">
            <v>Mr. Mark Agno</v>
          </cell>
          <cell r="N468" t="str">
            <v>Maintenance Parts &amp; Supplies</v>
          </cell>
        </row>
        <row r="469">
          <cell r="E469" t="str">
            <v>JIG26-03-0013 COMMON MATERIALS3</v>
          </cell>
          <cell r="F469" t="str">
            <v>JIG</v>
          </cell>
          <cell r="G469" t="str">
            <v>ACRYLIC DIFFUSER</v>
          </cell>
          <cell r="H469" t="str">
            <v>WHITE 3MM X 4FT X 8FT</v>
          </cell>
          <cell r="I469" t="str">
            <v>ANY</v>
          </cell>
          <cell r="J469" t="str">
            <v>PHP</v>
          </cell>
          <cell r="K469">
            <v>2200</v>
          </cell>
          <cell r="L469" t="str">
            <v>PC</v>
          </cell>
          <cell r="M469" t="str">
            <v>Mr. Mark Agno</v>
          </cell>
          <cell r="N469" t="str">
            <v>Maintenance Parts &amp; Supplies</v>
          </cell>
        </row>
        <row r="470">
          <cell r="E470" t="str">
            <v>JIG26-03-0014 COMMON MATERIALS1</v>
          </cell>
          <cell r="F470" t="str">
            <v>JIG</v>
          </cell>
          <cell r="G470" t="str">
            <v>CREALITY HYPER PLA (WHITE)</v>
          </cell>
          <cell r="H470" t="str">
            <v>FILAMENT 1.75MM</v>
          </cell>
          <cell r="I470" t="str">
            <v>ANY</v>
          </cell>
          <cell r="J470" t="str">
            <v>PHP</v>
          </cell>
          <cell r="K470">
            <v>1600</v>
          </cell>
          <cell r="L470" t="str">
            <v>PC</v>
          </cell>
          <cell r="M470" t="str">
            <v>Mr. Mark Agno</v>
          </cell>
          <cell r="N470" t="str">
            <v>Maintenance Parts &amp; Supplies</v>
          </cell>
        </row>
        <row r="471">
          <cell r="E471" t="str">
            <v>JIG26-03-0015 SEMITEC AED1</v>
          </cell>
          <cell r="F471" t="str">
            <v>JIG</v>
          </cell>
          <cell r="G471" t="str">
            <v>AMPLIFIER WITH FIBER OPTIC</v>
          </cell>
          <cell r="H471" t="str">
            <v>PC1-NH</v>
          </cell>
          <cell r="I471" t="str">
            <v>NESAS</v>
          </cell>
          <cell r="J471" t="str">
            <v>PHP</v>
          </cell>
          <cell r="K471">
            <v>4214</v>
          </cell>
          <cell r="L471" t="str">
            <v>PC</v>
          </cell>
          <cell r="M471" t="str">
            <v>Mr. Mark Agno</v>
          </cell>
          <cell r="N471" t="str">
            <v>Maintenance Parts &amp; Supplies</v>
          </cell>
        </row>
        <row r="472">
          <cell r="E472" t="str">
            <v>JIG26-03-0016 AKI AOD1</v>
          </cell>
          <cell r="F472" t="str">
            <v>JIG</v>
          </cell>
          <cell r="G472" t="str">
            <v>INSTALLATION OF AMPLIFIER WITH FIBER OPTIC</v>
          </cell>
          <cell r="H472" t="str">
            <v>PC1-NH</v>
          </cell>
          <cell r="I472" t="str">
            <v>NESAS</v>
          </cell>
          <cell r="J472" t="str">
            <v>PHP</v>
          </cell>
          <cell r="K472">
            <v>4300</v>
          </cell>
          <cell r="L472" t="str">
            <v>PC</v>
          </cell>
          <cell r="M472" t="str">
            <v>Mr. Mark Agno</v>
          </cell>
          <cell r="N472" t="str">
            <v>Maintenance Parts &amp; Supplies</v>
          </cell>
        </row>
        <row r="473">
          <cell r="E473" t="str">
            <v>JIG26-03-0017 AKI AOD1</v>
          </cell>
          <cell r="F473" t="str">
            <v>JIG</v>
          </cell>
          <cell r="G473" t="str">
            <v>INSTALLATION OF AMPLIFIER WITH FIBER OPTIC</v>
          </cell>
          <cell r="H473" t="str">
            <v>PC1-NH</v>
          </cell>
          <cell r="I473" t="str">
            <v>NESAS</v>
          </cell>
          <cell r="J473" t="str">
            <v>PHP</v>
          </cell>
          <cell r="K473">
            <v>4300</v>
          </cell>
          <cell r="L473" t="str">
            <v>PC</v>
          </cell>
          <cell r="M473" t="str">
            <v>Mr. Mark Agno</v>
          </cell>
          <cell r="N473" t="str">
            <v>Maintenance Parts &amp; Supplies</v>
          </cell>
        </row>
        <row r="474">
          <cell r="E474" t="str">
            <v>JIG26-03-0018 AKI AOD1</v>
          </cell>
          <cell r="F474" t="str">
            <v>JIG</v>
          </cell>
          <cell r="G474" t="str">
            <v>INSTALLATION OF AMPLIFIER WITH FIBER OPTIC</v>
          </cell>
          <cell r="H474" t="str">
            <v>PC1-NH</v>
          </cell>
          <cell r="I474" t="str">
            <v>NESAS</v>
          </cell>
          <cell r="J474" t="str">
            <v>PHP</v>
          </cell>
          <cell r="K474">
            <v>4300</v>
          </cell>
          <cell r="L474" t="str">
            <v>PC</v>
          </cell>
          <cell r="M474" t="str">
            <v>Mr. Mark Agno</v>
          </cell>
          <cell r="N474" t="str">
            <v>Maintenance Parts &amp; Supplies</v>
          </cell>
        </row>
        <row r="475">
          <cell r="E475" t="str">
            <v>JIG26-03-0019 AKI AOD1</v>
          </cell>
          <cell r="F475" t="str">
            <v>JIG</v>
          </cell>
          <cell r="G475" t="str">
            <v>INSTALLATION OF AMPLIFIER WITH FIBER OPTIC</v>
          </cell>
          <cell r="H475" t="str">
            <v>PC1-NH</v>
          </cell>
          <cell r="I475" t="str">
            <v>NESAS</v>
          </cell>
          <cell r="J475" t="str">
            <v>PHP</v>
          </cell>
          <cell r="K475">
            <v>4300</v>
          </cell>
          <cell r="L475" t="str">
            <v>PC</v>
          </cell>
          <cell r="M475" t="str">
            <v>Mr. Mark Agno</v>
          </cell>
          <cell r="N475" t="str">
            <v>Maintenance Parts &amp; Supplies</v>
          </cell>
        </row>
        <row r="476">
          <cell r="E476" t="str">
            <v>JIG26-03-0020 AKI AOD1</v>
          </cell>
          <cell r="F476" t="str">
            <v>JIG</v>
          </cell>
          <cell r="G476" t="str">
            <v>INSTALLATION OF AMPLIFIER WITH FIBER OPTIC</v>
          </cell>
          <cell r="H476" t="str">
            <v>PC1-NH</v>
          </cell>
          <cell r="I476" t="str">
            <v>NESAS</v>
          </cell>
          <cell r="J476" t="str">
            <v>PHP</v>
          </cell>
          <cell r="K476">
            <v>4300</v>
          </cell>
          <cell r="L476" t="str">
            <v>PC</v>
          </cell>
          <cell r="M476" t="str">
            <v>Mr. Mark Agno</v>
          </cell>
          <cell r="N476" t="str">
            <v>Maintenance Parts &amp; Supplies</v>
          </cell>
        </row>
        <row r="477">
          <cell r="E477" t="str">
            <v>JIG26-03-0021 AKI AOD1</v>
          </cell>
          <cell r="F477" t="str">
            <v>JIG</v>
          </cell>
          <cell r="G477" t="str">
            <v>INSTALLATION OF AMPLIFIER WITH FIBER OPTIC</v>
          </cell>
          <cell r="H477" t="str">
            <v>PC1-NH</v>
          </cell>
          <cell r="I477" t="str">
            <v>NESAS</v>
          </cell>
          <cell r="J477" t="str">
            <v>PHP</v>
          </cell>
          <cell r="K477">
            <v>4300</v>
          </cell>
          <cell r="L477" t="str">
            <v>PC</v>
          </cell>
          <cell r="M477" t="str">
            <v>Mr. Mark Agno</v>
          </cell>
          <cell r="N477" t="str">
            <v>Maintenance Parts &amp; Supplies</v>
          </cell>
        </row>
        <row r="478">
          <cell r="E478" t="str">
            <v>JIG26-03-0022 SOLDERING IRON1</v>
          </cell>
          <cell r="F478" t="str">
            <v>JIG</v>
          </cell>
          <cell r="G478" t="str">
            <v>SOLDERING IRON</v>
          </cell>
          <cell r="H478" t="str">
            <v>QUICK 969D+</v>
          </cell>
          <cell r="I478" t="str">
            <v>LAZADA</v>
          </cell>
          <cell r="J478" t="str">
            <v>PHP</v>
          </cell>
          <cell r="K478">
            <v>2216.06</v>
          </cell>
          <cell r="L478" t="str">
            <v>PC</v>
          </cell>
          <cell r="M478" t="str">
            <v>Ms. Carla</v>
          </cell>
          <cell r="N478" t="str">
            <v>Maintenance Parts &amp; Supplies</v>
          </cell>
        </row>
        <row r="479">
          <cell r="E479" t="str">
            <v>JIG26-03-0023 PPO TEAM1</v>
          </cell>
          <cell r="F479" t="str">
            <v>JIG</v>
          </cell>
          <cell r="G479" t="str">
            <v>SQUARE MAGNET NEODYMIUM</v>
          </cell>
          <cell r="H479" t="str">
            <v>15MM*15MM*15MM</v>
          </cell>
          <cell r="I479" t="str">
            <v>SHOPEE</v>
          </cell>
          <cell r="J479" t="str">
            <v>PHP</v>
          </cell>
          <cell r="K479">
            <v>199</v>
          </cell>
          <cell r="L479" t="str">
            <v>PC</v>
          </cell>
          <cell r="M479" t="str">
            <v>Ms. Carla</v>
          </cell>
          <cell r="N479" t="str">
            <v>Maintenance Parts &amp; Supplies</v>
          </cell>
        </row>
        <row r="480">
          <cell r="E480" t="str">
            <v>JIG26-03-0024 BASEPIN1</v>
          </cell>
          <cell r="F480" t="str">
            <v>JIG</v>
          </cell>
          <cell r="G480" t="str">
            <v>BASEPIN</v>
          </cell>
          <cell r="H480" t="str">
            <v>502352-0501</v>
          </cell>
          <cell r="I480" t="str">
            <v>MOLEX</v>
          </cell>
          <cell r="J480" t="str">
            <v>$</v>
          </cell>
          <cell r="K480">
            <v>1.22</v>
          </cell>
          <cell r="L480" t="str">
            <v>PC</v>
          </cell>
          <cell r="M480" t="str">
            <v>Ms. Lina Ramos</v>
          </cell>
          <cell r="N480" t="str">
            <v>Maintenance Parts &amp; Supplies</v>
          </cell>
        </row>
        <row r="481">
          <cell r="E481" t="str">
            <v>JIG26-03-0025 COMMON MATERIALS1</v>
          </cell>
          <cell r="F481" t="str">
            <v>JIG</v>
          </cell>
          <cell r="G481" t="str">
            <v>ACRYLIC</v>
          </cell>
          <cell r="H481" t="str">
            <v>2MM 4FT X 8FT</v>
          </cell>
          <cell r="I481" t="str">
            <v>ANY</v>
          </cell>
          <cell r="J481" t="str">
            <v>PHP</v>
          </cell>
          <cell r="K481">
            <v>1333</v>
          </cell>
          <cell r="L481" t="str">
            <v>PC</v>
          </cell>
          <cell r="M481" t="str">
            <v>Mr. Mark Agno</v>
          </cell>
          <cell r="N481" t="str">
            <v>Maintenance Parts &amp; Supplies</v>
          </cell>
        </row>
        <row r="482">
          <cell r="E482" t="str">
            <v>JIG26-03-0025 COMMON MATERIALS2</v>
          </cell>
          <cell r="F482" t="str">
            <v>JIG</v>
          </cell>
          <cell r="G482" t="str">
            <v>ACRYLIC</v>
          </cell>
          <cell r="H482" t="str">
            <v>3MM 4FT X 8FT</v>
          </cell>
          <cell r="I482" t="str">
            <v>ANY</v>
          </cell>
          <cell r="J482" t="str">
            <v>PHP</v>
          </cell>
          <cell r="K482">
            <v>2000</v>
          </cell>
          <cell r="L482" t="str">
            <v>PC</v>
          </cell>
          <cell r="M482" t="str">
            <v>Mr. Mark Agno</v>
          </cell>
          <cell r="N482" t="str">
            <v>Maintenance Parts &amp; Supplies</v>
          </cell>
        </row>
        <row r="483">
          <cell r="E483" t="str">
            <v>JIG26-03-0025 COMMON MATERIALS3</v>
          </cell>
          <cell r="F483" t="str">
            <v>JIG</v>
          </cell>
          <cell r="G483" t="str">
            <v>ACRYLIC</v>
          </cell>
          <cell r="H483" t="str">
            <v>10MM 4FT X 8FT</v>
          </cell>
          <cell r="I483" t="str">
            <v>ANY</v>
          </cell>
          <cell r="J483" t="str">
            <v>PHP</v>
          </cell>
          <cell r="K483">
            <v>6666</v>
          </cell>
          <cell r="L483" t="str">
            <v>PC</v>
          </cell>
          <cell r="M483" t="str">
            <v>Mr. Mark Agno</v>
          </cell>
          <cell r="N483" t="str">
            <v>Maintenance Parts &amp; Supplies</v>
          </cell>
        </row>
        <row r="484">
          <cell r="E484" t="str">
            <v>JIG26-03-0026 COMMON MATERIALS1</v>
          </cell>
          <cell r="F484" t="str">
            <v>JIG</v>
          </cell>
          <cell r="G484" t="str">
            <v>LINEAR GUIDE</v>
          </cell>
          <cell r="H484" t="str">
            <v>E-GMLG9-75</v>
          </cell>
          <cell r="I484" t="str">
            <v>RASO</v>
          </cell>
          <cell r="J484" t="str">
            <v>PHP</v>
          </cell>
          <cell r="K484">
            <v>540</v>
          </cell>
          <cell r="L484" t="str">
            <v>PC</v>
          </cell>
          <cell r="M484" t="str">
            <v>Mr. Mark Agno</v>
          </cell>
          <cell r="N484" t="str">
            <v>Maintenance Parts &amp; Supplies</v>
          </cell>
        </row>
        <row r="485">
          <cell r="E485" t="str">
            <v>JIG26-03-0026 COMMON MATERIALS2</v>
          </cell>
          <cell r="F485" t="str">
            <v>JIG</v>
          </cell>
          <cell r="G485" t="str">
            <v>LINEAR GUIDE</v>
          </cell>
          <cell r="H485" t="str">
            <v>E-GMLG9-150</v>
          </cell>
          <cell r="I485" t="str">
            <v>RASO</v>
          </cell>
          <cell r="J485" t="str">
            <v>PHP</v>
          </cell>
          <cell r="K485">
            <v>716.1</v>
          </cell>
          <cell r="L485" t="str">
            <v>PC</v>
          </cell>
          <cell r="M485" t="str">
            <v>Mr. Mark Agno</v>
          </cell>
          <cell r="N485" t="str">
            <v>Maintenance Parts &amp; Supplies</v>
          </cell>
        </row>
        <row r="486">
          <cell r="E486" t="str">
            <v>JIG26-03-0027 COMMON MATERIALS1</v>
          </cell>
          <cell r="G486" t="str">
            <v xml:space="preserve">WOOD SCREW </v>
          </cell>
          <cell r="H486" t="str">
            <v xml:space="preserve">NO. 4 1/2 </v>
          </cell>
          <cell r="I486" t="str">
            <v>ANY</v>
          </cell>
          <cell r="J486" t="str">
            <v>PHP</v>
          </cell>
          <cell r="K486">
            <v>1</v>
          </cell>
          <cell r="L486" t="str">
            <v>PC</v>
          </cell>
          <cell r="M486" t="str">
            <v>Mr. Mark Agno</v>
          </cell>
          <cell r="N486" t="str">
            <v>Maintenance Parts &amp; Supplies</v>
          </cell>
        </row>
        <row r="487">
          <cell r="E487" t="str">
            <v>JIG26-03-0027 COMMON MATERIALS2</v>
          </cell>
          <cell r="G487" t="str">
            <v xml:space="preserve">WOOD SCREW </v>
          </cell>
          <cell r="H487" t="str">
            <v>NO. 4 3/8</v>
          </cell>
          <cell r="I487" t="str">
            <v>ANY</v>
          </cell>
          <cell r="J487" t="str">
            <v>PHP</v>
          </cell>
          <cell r="K487">
            <v>1</v>
          </cell>
          <cell r="L487" t="str">
            <v>PC</v>
          </cell>
          <cell r="M487" t="str">
            <v>Mr. Mark Agno</v>
          </cell>
          <cell r="N487" t="str">
            <v>Maintenance Parts &amp; Supplies</v>
          </cell>
        </row>
        <row r="488">
          <cell r="E488" t="str">
            <v>JIG26-03-0027 COMMON MATERIALS3</v>
          </cell>
          <cell r="G488" t="str">
            <v xml:space="preserve">WOOD SCREW </v>
          </cell>
          <cell r="H488" t="str">
            <v xml:space="preserve">NO. 4 3/4 </v>
          </cell>
          <cell r="I488" t="str">
            <v>ANY</v>
          </cell>
          <cell r="J488" t="str">
            <v>PHP</v>
          </cell>
          <cell r="K488">
            <v>1.25</v>
          </cell>
          <cell r="L488" t="str">
            <v>PC</v>
          </cell>
          <cell r="M488" t="str">
            <v>Mr. Mark Agno</v>
          </cell>
          <cell r="N488" t="str">
            <v>Maintenance Parts &amp; Supplies</v>
          </cell>
        </row>
        <row r="489">
          <cell r="E489" t="str">
            <v>JIG26-03-0028 COMMON MATERIALS1</v>
          </cell>
          <cell r="F489" t="str">
            <v>JIG</v>
          </cell>
          <cell r="G489" t="str">
            <v>ALUMINUM PROFILE</v>
          </cell>
          <cell r="H489" t="str">
            <v>9FT V-SLOT 30X30</v>
          </cell>
          <cell r="I489" t="str">
            <v>VLCR</v>
          </cell>
          <cell r="J489" t="str">
            <v>PHP</v>
          </cell>
          <cell r="K489">
            <v>1687</v>
          </cell>
          <cell r="L489" t="str">
            <v>PC</v>
          </cell>
          <cell r="M489" t="str">
            <v>Mr. Mark Agno</v>
          </cell>
          <cell r="N489" t="str">
            <v>Maintenance Parts &amp; Supplies</v>
          </cell>
        </row>
        <row r="490">
          <cell r="E490" t="str">
            <v>JIG26-03-0029 COMMON MATERIALS1</v>
          </cell>
          <cell r="G490" t="str">
            <v>ALUMINUM PROFILE</v>
          </cell>
          <cell r="H490" t="str">
            <v xml:space="preserve">6FT 20X20 </v>
          </cell>
          <cell r="I490" t="str">
            <v>VLCR</v>
          </cell>
          <cell r="J490" t="str">
            <v>PHP</v>
          </cell>
          <cell r="K490">
            <v>598</v>
          </cell>
          <cell r="L490" t="str">
            <v>PC</v>
          </cell>
          <cell r="M490" t="str">
            <v>Mr. Mark Agno</v>
          </cell>
          <cell r="N490" t="str">
            <v>Maintenance Parts &amp; Supplies</v>
          </cell>
        </row>
        <row r="491">
          <cell r="E491" t="str">
            <v>JIG26-03-0030 COMMON MATERIALS1</v>
          </cell>
          <cell r="F491" t="str">
            <v>JIG</v>
          </cell>
          <cell r="G491" t="str">
            <v>SPIRAL TUBE</v>
          </cell>
          <cell r="H491" t="str">
            <v>T6</v>
          </cell>
          <cell r="I491" t="str">
            <v>ANY</v>
          </cell>
          <cell r="J491" t="str">
            <v>PHP</v>
          </cell>
          <cell r="K491">
            <v>135</v>
          </cell>
          <cell r="L491" t="str">
            <v>PC</v>
          </cell>
          <cell r="M491" t="str">
            <v>Mr. Mark Agno</v>
          </cell>
          <cell r="N491" t="str">
            <v>Maintenance Parts &amp; Supplies</v>
          </cell>
        </row>
        <row r="492">
          <cell r="E492" t="str">
            <v>JIG26-03-0031 COMMON MATERIALS1</v>
          </cell>
          <cell r="F492" t="str">
            <v>JIG</v>
          </cell>
          <cell r="G492" t="str">
            <v>SOLENOID VALVE 24V</v>
          </cell>
          <cell r="H492" t="str">
            <v>SY3120-5LZD-M5</v>
          </cell>
          <cell r="I492" t="str">
            <v>ANY</v>
          </cell>
          <cell r="J492" t="str">
            <v>PHP</v>
          </cell>
          <cell r="K492">
            <v>1500</v>
          </cell>
          <cell r="L492" t="str">
            <v>PC</v>
          </cell>
          <cell r="M492" t="str">
            <v>Mr. Mark Agno</v>
          </cell>
          <cell r="N492" t="str">
            <v>Maintenance Parts &amp; Supplies</v>
          </cell>
        </row>
        <row r="493">
          <cell r="E493" t="str">
            <v>JIG26-03-0032 COMMON MATERIALS1</v>
          </cell>
          <cell r="F493" t="str">
            <v>JIG</v>
          </cell>
          <cell r="G493" t="str">
            <v>SOLDERING IRON TIP CLEANER</v>
          </cell>
          <cell r="H493" t="str">
            <v>YH-08B</v>
          </cell>
          <cell r="I493" t="str">
            <v>MAKERLAB</v>
          </cell>
          <cell r="J493" t="str">
            <v>PHP</v>
          </cell>
          <cell r="K493">
            <v>99</v>
          </cell>
          <cell r="L493" t="str">
            <v>PC</v>
          </cell>
          <cell r="M493" t="str">
            <v>Ms. Carla</v>
          </cell>
          <cell r="N493" t="str">
            <v>Maintenance Parts &amp; Supplies</v>
          </cell>
        </row>
        <row r="494">
          <cell r="E494" t="str">
            <v>JIG26-03-0033 FILTER AND DUSTBAG1</v>
          </cell>
          <cell r="F494" t="str">
            <v>JIG</v>
          </cell>
          <cell r="G494" t="str">
            <v>FILTER BAG</v>
          </cell>
          <cell r="H494" t="str">
            <v>TEXTILE VACUUM CLEANER</v>
          </cell>
          <cell r="I494" t="str">
            <v>SHOPEE</v>
          </cell>
          <cell r="J494" t="str">
            <v>PHP</v>
          </cell>
          <cell r="K494">
            <v>158</v>
          </cell>
          <cell r="L494" t="str">
            <v>PC</v>
          </cell>
          <cell r="M494" t="str">
            <v>Ms. Carla</v>
          </cell>
          <cell r="N494" t="str">
            <v>Maintenance Parts &amp; Supplies</v>
          </cell>
        </row>
        <row r="495">
          <cell r="E495" t="str">
            <v>JIG26-03-0033 FILTER AND DUSTBAG2</v>
          </cell>
          <cell r="F495" t="str">
            <v>JIG</v>
          </cell>
          <cell r="G495" t="str">
            <v>DRY VAC DUSTBAG</v>
          </cell>
          <cell r="H495" t="str">
            <v>NON-WOVEN FABRIC</v>
          </cell>
          <cell r="I495" t="str">
            <v>SHOPEE</v>
          </cell>
          <cell r="J495" t="str">
            <v>PHP</v>
          </cell>
          <cell r="K495">
            <v>247</v>
          </cell>
          <cell r="L495" t="str">
            <v>PC</v>
          </cell>
          <cell r="M495" t="str">
            <v>Ms. Carla</v>
          </cell>
          <cell r="N495" t="str">
            <v>Maintenance Parts &amp; Supplies</v>
          </cell>
        </row>
        <row r="496">
          <cell r="E496" t="str">
            <v>JIG26-03-0034 PROXXON1</v>
          </cell>
          <cell r="F496" t="str">
            <v>JIG</v>
          </cell>
          <cell r="G496" t="str">
            <v>PROXXON</v>
          </cell>
          <cell r="H496" t="str">
            <v>FBS-240/E</v>
          </cell>
          <cell r="I496" t="str">
            <v>ANY</v>
          </cell>
          <cell r="J496" t="str">
            <v>PHP</v>
          </cell>
          <cell r="K496">
            <v>7550</v>
          </cell>
          <cell r="L496" t="str">
            <v>PC</v>
          </cell>
          <cell r="M496" t="str">
            <v>Mr. Mark Agno</v>
          </cell>
          <cell r="N496" t="str">
            <v>Repair &amp; Maintenance</v>
          </cell>
        </row>
        <row r="497">
          <cell r="E497" t="str">
            <v>JIG26-03-0034 COMMON MATERIALS1</v>
          </cell>
          <cell r="F497" t="str">
            <v>JIG</v>
          </cell>
          <cell r="G497" t="str">
            <v>TOGGLE CLAMP</v>
          </cell>
          <cell r="H497" t="str">
            <v>HV-150</v>
          </cell>
          <cell r="I497" t="str">
            <v>VLCR</v>
          </cell>
          <cell r="J497" t="str">
            <v>PHP</v>
          </cell>
          <cell r="K497">
            <v>790</v>
          </cell>
          <cell r="L497" t="str">
            <v>PC</v>
          </cell>
          <cell r="M497" t="str">
            <v>Mr. Mark Agno</v>
          </cell>
          <cell r="N497" t="str">
            <v>Maintenance Parts &amp; Supplies</v>
          </cell>
        </row>
        <row r="498">
          <cell r="E498" t="str">
            <v>JIG26-03-0035 COMMON MATERIALS1</v>
          </cell>
          <cell r="F498" t="str">
            <v>JIG</v>
          </cell>
          <cell r="G498" t="str">
            <v xml:space="preserve">RESISTOR </v>
          </cell>
          <cell r="H498" t="str">
            <v>2K Ω</v>
          </cell>
          <cell r="I498" t="str">
            <v>ANY</v>
          </cell>
          <cell r="J498" t="str">
            <v>PHP</v>
          </cell>
          <cell r="K498">
            <v>2</v>
          </cell>
          <cell r="L498" t="str">
            <v>PC</v>
          </cell>
          <cell r="M498" t="str">
            <v>Mr. Mark Agno</v>
          </cell>
          <cell r="N498" t="str">
            <v>Maintenance Parts &amp; Supplies</v>
          </cell>
        </row>
        <row r="499">
          <cell r="E499" t="str">
            <v>JIG26-03-0035 COMMON MATERIALS2</v>
          </cell>
          <cell r="F499" t="str">
            <v>JIG</v>
          </cell>
          <cell r="G499" t="str">
            <v>CAPACITOR</v>
          </cell>
          <cell r="H499">
            <v>104</v>
          </cell>
          <cell r="I499" t="str">
            <v>ANY</v>
          </cell>
          <cell r="J499" t="str">
            <v>PHP</v>
          </cell>
          <cell r="K499">
            <v>5</v>
          </cell>
          <cell r="L499" t="str">
            <v>PC</v>
          </cell>
          <cell r="M499" t="str">
            <v>Mr. Mark Agno</v>
          </cell>
          <cell r="N499" t="str">
            <v>Maintenance Parts &amp; Supplies</v>
          </cell>
        </row>
        <row r="500">
          <cell r="E500" t="str">
            <v>JIG26-03-0036 LASER MACHINE1</v>
          </cell>
          <cell r="F500" t="str">
            <v>JIG</v>
          </cell>
          <cell r="G500" t="str">
            <v>FUSE GLASS</v>
          </cell>
          <cell r="H500" t="str">
            <v>10A 30MM</v>
          </cell>
          <cell r="I500" t="str">
            <v>ANY</v>
          </cell>
          <cell r="J500" t="str">
            <v>PHP</v>
          </cell>
          <cell r="K500">
            <v>5</v>
          </cell>
          <cell r="L500" t="str">
            <v>PC</v>
          </cell>
          <cell r="M500" t="str">
            <v>Mr. Mark Agno</v>
          </cell>
          <cell r="N500" t="str">
            <v>Maintenance Parts &amp; Supplies</v>
          </cell>
        </row>
        <row r="501">
          <cell r="E501" t="str">
            <v>JIG26-03-0036 LASER MACHINE2</v>
          </cell>
          <cell r="F501" t="str">
            <v>JIG</v>
          </cell>
          <cell r="G501" t="str">
            <v>FUSE GLASS</v>
          </cell>
          <cell r="H501" t="str">
            <v>15A 20MM</v>
          </cell>
          <cell r="I501" t="str">
            <v>ANY</v>
          </cell>
          <cell r="J501" t="str">
            <v>PHP</v>
          </cell>
          <cell r="K501">
            <v>4</v>
          </cell>
          <cell r="L501" t="str">
            <v>PC</v>
          </cell>
          <cell r="M501" t="str">
            <v>Mr. Mark Agno</v>
          </cell>
          <cell r="N501" t="str">
            <v>Maintenance Parts &amp; Supplies</v>
          </cell>
        </row>
        <row r="502">
          <cell r="E502" t="str">
            <v>JIG26-03-0037 COMMON MATERIALS1</v>
          </cell>
          <cell r="F502" t="str">
            <v>JIG</v>
          </cell>
          <cell r="G502" t="str">
            <v>RELAY</v>
          </cell>
          <cell r="H502" t="str">
            <v>24V/14PINS</v>
          </cell>
          <cell r="I502" t="str">
            <v>ANY</v>
          </cell>
          <cell r="J502" t="str">
            <v>PHP</v>
          </cell>
          <cell r="K502">
            <v>170</v>
          </cell>
          <cell r="L502" t="str">
            <v>PC</v>
          </cell>
          <cell r="M502" t="str">
            <v>Mr. Mark Agno</v>
          </cell>
          <cell r="N502" t="str">
            <v>Maintenance Parts &amp; Supplies</v>
          </cell>
        </row>
        <row r="503">
          <cell r="E503" t="str">
            <v>JIG26-03-0038 DENSO AED1</v>
          </cell>
          <cell r="F503" t="str">
            <v>JIG</v>
          </cell>
          <cell r="G503" t="str">
            <v>ROTARY UNION</v>
          </cell>
          <cell r="H503" t="str">
            <v>MR-Q4</v>
          </cell>
          <cell r="I503" t="str">
            <v>ANY</v>
          </cell>
          <cell r="J503" t="str">
            <v>PHP</v>
          </cell>
          <cell r="K503">
            <v>10800</v>
          </cell>
          <cell r="L503" t="str">
            <v>PC</v>
          </cell>
          <cell r="M503" t="str">
            <v>Ms. Carla</v>
          </cell>
          <cell r="N503" t="str">
            <v>Maintenance Parts &amp; Supplies</v>
          </cell>
        </row>
        <row r="504">
          <cell r="E504" t="str">
            <v>JIG26-03-0038 DENSO AED2</v>
          </cell>
          <cell r="F504" t="str">
            <v>JIG</v>
          </cell>
          <cell r="G504" t="str">
            <v>WANTAI STEPPER MOTOR NEMA 34 80MM 45KG-CM</v>
          </cell>
          <cell r="H504" t="str">
            <v>WT86STH80-5604A</v>
          </cell>
          <cell r="I504" t="str">
            <v>MAKERLAB</v>
          </cell>
          <cell r="J504" t="str">
            <v>PHP</v>
          </cell>
          <cell r="K504">
            <v>2890</v>
          </cell>
          <cell r="L504" t="str">
            <v>PC</v>
          </cell>
          <cell r="M504" t="str">
            <v>Ms. Carla</v>
          </cell>
          <cell r="N504" t="str">
            <v>Maintenance Parts &amp; Supplies</v>
          </cell>
        </row>
        <row r="505">
          <cell r="E505" t="str">
            <v>JIG26-03-0038 DENSO AED3</v>
          </cell>
          <cell r="F505" t="str">
            <v>JIG</v>
          </cell>
          <cell r="G505" t="str">
            <v>WANTAI STEPPER MOTOR DRIVER</v>
          </cell>
          <cell r="H505" t="str">
            <v>DQ860MA 7.8A</v>
          </cell>
          <cell r="I505" t="str">
            <v>MAKERLAB</v>
          </cell>
          <cell r="J505" t="str">
            <v>PHP</v>
          </cell>
          <cell r="K505">
            <v>3499</v>
          </cell>
          <cell r="L505" t="str">
            <v>PC</v>
          </cell>
          <cell r="M505" t="str">
            <v>Ms. Carla</v>
          </cell>
          <cell r="N505" t="str">
            <v>Maintenance Parts &amp; Supplies</v>
          </cell>
        </row>
        <row r="506">
          <cell r="E506" t="str">
            <v>JIG26-03-0038 DENSO AED4</v>
          </cell>
          <cell r="F506" t="str">
            <v>JIG</v>
          </cell>
          <cell r="G506" t="str">
            <v>SHAFT COUPLING</v>
          </cell>
          <cell r="H506" t="str">
            <v>6.35X6.35</v>
          </cell>
          <cell r="I506" t="str">
            <v>SHOPEE</v>
          </cell>
          <cell r="J506" t="str">
            <v>PHP</v>
          </cell>
          <cell r="K506">
            <v>256</v>
          </cell>
          <cell r="L506" t="str">
            <v>PC</v>
          </cell>
          <cell r="M506" t="str">
            <v>Ms. Carla</v>
          </cell>
          <cell r="N506" t="str">
            <v>Maintenance Parts &amp; Supplies</v>
          </cell>
        </row>
        <row r="507">
          <cell r="E507" t="str">
            <v>JIG26-03-0038 DENSO AED5</v>
          </cell>
          <cell r="F507" t="str">
            <v>JIG</v>
          </cell>
          <cell r="G507" t="str">
            <v>SHAFT COUPLING</v>
          </cell>
          <cell r="H507" t="str">
            <v>12X12</v>
          </cell>
          <cell r="I507" t="str">
            <v>SHOPEE</v>
          </cell>
          <cell r="J507" t="str">
            <v>PHP</v>
          </cell>
          <cell r="K507">
            <v>252</v>
          </cell>
          <cell r="L507" t="str">
            <v>PC</v>
          </cell>
          <cell r="M507" t="str">
            <v>Ms. Carla</v>
          </cell>
          <cell r="N507" t="str">
            <v>Maintenance Parts &amp; Supplies</v>
          </cell>
        </row>
        <row r="508">
          <cell r="E508" t="str">
            <v>JIG26-03-0039 MINI BOLT CUTTER1</v>
          </cell>
          <cell r="F508" t="str">
            <v>JIG</v>
          </cell>
          <cell r="G508" t="str">
            <v>MINI BOLT CUTTER</v>
          </cell>
          <cell r="H508" t="str">
            <v>WBC1908</v>
          </cell>
          <cell r="I508" t="str">
            <v>LAZADA</v>
          </cell>
          <cell r="J508" t="str">
            <v>PHP</v>
          </cell>
          <cell r="K508">
            <v>165</v>
          </cell>
          <cell r="L508" t="str">
            <v>PC</v>
          </cell>
          <cell r="M508" t="str">
            <v>Ms. Carla</v>
          </cell>
          <cell r="N508" t="str">
            <v>Maintenance Parts &amp; Supplies</v>
          </cell>
        </row>
        <row r="509">
          <cell r="E509" t="str">
            <v>JIG26-03-0040 AKI AOD1</v>
          </cell>
          <cell r="F509" t="str">
            <v>JIG</v>
          </cell>
          <cell r="G509" t="str">
            <v>CYLINDER THREE AXIS</v>
          </cell>
          <cell r="H509" t="str">
            <v>MGPM50-100Z</v>
          </cell>
          <cell r="I509" t="str">
            <v>ANY</v>
          </cell>
          <cell r="J509" t="str">
            <v>PHP</v>
          </cell>
          <cell r="K509">
            <v>4237</v>
          </cell>
          <cell r="L509" t="str">
            <v>PC</v>
          </cell>
          <cell r="M509" t="str">
            <v>Ms. Carla</v>
          </cell>
          <cell r="N509" t="str">
            <v>Maintenance Parts &amp; Supplies</v>
          </cell>
        </row>
        <row r="510">
          <cell r="E510" t="str">
            <v>JIG26-03-0040 AKI AOD2</v>
          </cell>
          <cell r="F510" t="str">
            <v>JIG</v>
          </cell>
          <cell r="G510" t="str">
            <v>FITTING</v>
          </cell>
          <cell r="H510" t="str">
            <v>PC 1/4"X6MM</v>
          </cell>
          <cell r="I510" t="str">
            <v>SHOPEE</v>
          </cell>
          <cell r="J510" t="str">
            <v>PHP</v>
          </cell>
          <cell r="K510">
            <v>26</v>
          </cell>
          <cell r="L510" t="str">
            <v>PC</v>
          </cell>
          <cell r="M510" t="str">
            <v>Ms. Carla</v>
          </cell>
          <cell r="N510" t="str">
            <v>Maintenance Parts &amp; Supplies</v>
          </cell>
        </row>
        <row r="511">
          <cell r="E511" t="str">
            <v>JIG26-03-0041 DTPH AED1</v>
          </cell>
          <cell r="F511" t="str">
            <v>JIG</v>
          </cell>
          <cell r="G511" t="str">
            <v>CYLINDER THREE AXIS</v>
          </cell>
          <cell r="H511" t="str">
            <v>MGPM50-100Z</v>
          </cell>
          <cell r="I511" t="str">
            <v>ANY</v>
          </cell>
          <cell r="J511" t="str">
            <v>PHP</v>
          </cell>
          <cell r="K511">
            <v>4237</v>
          </cell>
          <cell r="L511" t="str">
            <v>PC</v>
          </cell>
          <cell r="M511" t="str">
            <v>Ms. Carla</v>
          </cell>
          <cell r="N511" t="str">
            <v>Maintenance Parts &amp; Supplies</v>
          </cell>
        </row>
        <row r="512">
          <cell r="E512" t="str">
            <v>JIG26-03-0041 DTPH AED2</v>
          </cell>
          <cell r="F512" t="str">
            <v>JIG</v>
          </cell>
          <cell r="G512" t="str">
            <v>FITTING</v>
          </cell>
          <cell r="H512" t="str">
            <v>PC 1/4"X6MM</v>
          </cell>
          <cell r="I512" t="str">
            <v>SHOPEE</v>
          </cell>
          <cell r="J512" t="str">
            <v>PHP</v>
          </cell>
          <cell r="K512">
            <v>26</v>
          </cell>
          <cell r="L512" t="str">
            <v>PC</v>
          </cell>
          <cell r="M512" t="str">
            <v>Ms. Carla</v>
          </cell>
          <cell r="N512" t="str">
            <v>Maintenance Parts &amp; Supplies</v>
          </cell>
        </row>
        <row r="513">
          <cell r="E513" t="str">
            <v/>
          </cell>
          <cell r="F513" t="str">
            <v>JIG</v>
          </cell>
        </row>
        <row r="514">
          <cell r="E514" t="str">
            <v/>
          </cell>
          <cell r="F514" t="str">
            <v>JIG</v>
          </cell>
        </row>
        <row r="515">
          <cell r="E515" t="str">
            <v/>
          </cell>
          <cell r="F515" t="str">
            <v>JIG</v>
          </cell>
        </row>
        <row r="516">
          <cell r="E516" t="str">
            <v/>
          </cell>
          <cell r="F516" t="str">
            <v>JIG</v>
          </cell>
        </row>
        <row r="517">
          <cell r="E517" t="str">
            <v/>
          </cell>
          <cell r="F517" t="str">
            <v>JIG</v>
          </cell>
        </row>
        <row r="518">
          <cell r="E518" t="str">
            <v/>
          </cell>
          <cell r="F518" t="str">
            <v>JIG</v>
          </cell>
        </row>
        <row r="519">
          <cell r="E519" t="str">
            <v/>
          </cell>
          <cell r="F519" t="str">
            <v>JIG</v>
          </cell>
        </row>
        <row r="520">
          <cell r="E520" t="str">
            <v/>
          </cell>
          <cell r="F520" t="str">
            <v>JIG</v>
          </cell>
        </row>
        <row r="521">
          <cell r="E521" t="str">
            <v/>
          </cell>
          <cell r="F521" t="str">
            <v>JIG</v>
          </cell>
        </row>
        <row r="522">
          <cell r="E522" t="str">
            <v/>
          </cell>
          <cell r="F522" t="str">
            <v>JIG</v>
          </cell>
        </row>
        <row r="523">
          <cell r="E523" t="str">
            <v/>
          </cell>
          <cell r="F523" t="str">
            <v>JIG</v>
          </cell>
        </row>
        <row r="524">
          <cell r="E524" t="str">
            <v/>
          </cell>
          <cell r="F524" t="str">
            <v>JIG</v>
          </cell>
        </row>
        <row r="525">
          <cell r="E525" t="str">
            <v/>
          </cell>
          <cell r="F525" t="str">
            <v>JIG</v>
          </cell>
        </row>
        <row r="526">
          <cell r="E526" t="str">
            <v/>
          </cell>
          <cell r="F526" t="str">
            <v>JIG</v>
          </cell>
        </row>
        <row r="527">
          <cell r="E527" t="str">
            <v/>
          </cell>
          <cell r="F527" t="str">
            <v>JIG</v>
          </cell>
        </row>
        <row r="528">
          <cell r="E528" t="str">
            <v/>
          </cell>
          <cell r="F528" t="str">
            <v>JIG</v>
          </cell>
        </row>
        <row r="529">
          <cell r="E529" t="str">
            <v/>
          </cell>
          <cell r="F529" t="str">
            <v>JIG</v>
          </cell>
        </row>
        <row r="530">
          <cell r="E530" t="str">
            <v/>
          </cell>
          <cell r="F530" t="e">
            <v>#REF!</v>
          </cell>
        </row>
        <row r="531">
          <cell r="E531" t="str">
            <v/>
          </cell>
          <cell r="F531" t="str">
            <v>JIG</v>
          </cell>
        </row>
        <row r="532">
          <cell r="E532" t="str">
            <v/>
          </cell>
          <cell r="F532" t="str">
            <v>JIG</v>
          </cell>
        </row>
        <row r="533">
          <cell r="E533" t="str">
            <v/>
          </cell>
          <cell r="F533" t="str">
            <v>JIG</v>
          </cell>
        </row>
        <row r="534">
          <cell r="E534" t="str">
            <v/>
          </cell>
          <cell r="F534" t="str">
            <v>JIG</v>
          </cell>
        </row>
        <row r="535">
          <cell r="E535" t="str">
            <v/>
          </cell>
          <cell r="F535" t="str">
            <v>JIG</v>
          </cell>
        </row>
        <row r="536">
          <cell r="E536" t="str">
            <v/>
          </cell>
          <cell r="F536" t="str">
            <v>JIG</v>
          </cell>
        </row>
        <row r="537">
          <cell r="E537" t="str">
            <v/>
          </cell>
          <cell r="F537" t="str">
            <v>JIG</v>
          </cell>
        </row>
        <row r="538">
          <cell r="E538" t="str">
            <v/>
          </cell>
          <cell r="F538" t="str">
            <v>JIG</v>
          </cell>
        </row>
        <row r="539">
          <cell r="E539" t="str">
            <v/>
          </cell>
          <cell r="F539" t="str">
            <v>JIG</v>
          </cell>
        </row>
        <row r="540">
          <cell r="E540" t="str">
            <v/>
          </cell>
          <cell r="F540" t="str">
            <v>JIG</v>
          </cell>
        </row>
        <row r="541">
          <cell r="E541" t="str">
            <v/>
          </cell>
          <cell r="F541" t="str">
            <v>JIG OFFICE SUPPLIES</v>
          </cell>
        </row>
        <row r="542">
          <cell r="E542" t="str">
            <v/>
          </cell>
          <cell r="F542" t="str">
            <v>JIG OFFICE SUPPLIES</v>
          </cell>
        </row>
        <row r="543">
          <cell r="E543" t="str">
            <v/>
          </cell>
          <cell r="F543" t="str">
            <v>JIG</v>
          </cell>
        </row>
        <row r="544">
          <cell r="E544" t="str">
            <v/>
          </cell>
          <cell r="F544" t="str">
            <v>JIG</v>
          </cell>
        </row>
        <row r="545">
          <cell r="E545" t="str">
            <v/>
          </cell>
          <cell r="F545" t="str">
            <v>JIG</v>
          </cell>
        </row>
        <row r="546">
          <cell r="E546" t="str">
            <v/>
          </cell>
          <cell r="F546" t="str">
            <v>JIG</v>
          </cell>
        </row>
        <row r="547">
          <cell r="E547" t="str">
            <v/>
          </cell>
          <cell r="F547" t="str">
            <v>JIG</v>
          </cell>
        </row>
        <row r="548">
          <cell r="E548" t="str">
            <v/>
          </cell>
          <cell r="F548" t="str">
            <v>JIG</v>
          </cell>
        </row>
        <row r="549">
          <cell r="E549" t="str">
            <v/>
          </cell>
          <cell r="F549" t="str">
            <v>JIG</v>
          </cell>
        </row>
        <row r="550">
          <cell r="E550" t="str">
            <v/>
          </cell>
          <cell r="F550" t="str">
            <v>JIG</v>
          </cell>
        </row>
        <row r="551">
          <cell r="E551" t="str">
            <v/>
          </cell>
          <cell r="F551" t="str">
            <v>JIG</v>
          </cell>
        </row>
        <row r="552">
          <cell r="E552" t="str">
            <v/>
          </cell>
          <cell r="F552" t="str">
            <v>JIG</v>
          </cell>
        </row>
        <row r="553">
          <cell r="E553" t="str">
            <v/>
          </cell>
          <cell r="F553" t="str">
            <v>JIG</v>
          </cell>
        </row>
        <row r="554">
          <cell r="E554" t="str">
            <v/>
          </cell>
          <cell r="F554" t="str">
            <v>JIG</v>
          </cell>
        </row>
        <row r="555">
          <cell r="E555" t="str">
            <v/>
          </cell>
          <cell r="F555" t="str">
            <v>JIG</v>
          </cell>
        </row>
        <row r="556">
          <cell r="E556" t="str">
            <v/>
          </cell>
          <cell r="F556" t="str">
            <v>JIG</v>
          </cell>
        </row>
        <row r="557">
          <cell r="E557" t="str">
            <v/>
          </cell>
        </row>
        <row r="558">
          <cell r="E558" t="str">
            <v/>
          </cell>
          <cell r="F558" t="str">
            <v>JIG</v>
          </cell>
        </row>
        <row r="559">
          <cell r="E559" t="str">
            <v/>
          </cell>
          <cell r="F559" t="str">
            <v>JIG</v>
          </cell>
        </row>
        <row r="560">
          <cell r="E560" t="str">
            <v/>
          </cell>
          <cell r="F560" t="str">
            <v>JIG</v>
          </cell>
        </row>
        <row r="561">
          <cell r="E561" t="str">
            <v/>
          </cell>
          <cell r="F561" t="str">
            <v>JIG</v>
          </cell>
        </row>
        <row r="562">
          <cell r="E562" t="str">
            <v/>
          </cell>
          <cell r="F562" t="str">
            <v>JIG</v>
          </cell>
        </row>
        <row r="563">
          <cell r="E563" t="str">
            <v/>
          </cell>
        </row>
        <row r="564">
          <cell r="E564" t="str">
            <v/>
          </cell>
          <cell r="F564" t="str">
            <v>JIG</v>
          </cell>
        </row>
        <row r="565">
          <cell r="E565" t="str">
            <v/>
          </cell>
          <cell r="F565" t="str">
            <v>JIG</v>
          </cell>
        </row>
        <row r="566">
          <cell r="E566" t="str">
            <v/>
          </cell>
          <cell r="F566" t="str">
            <v>JIG</v>
          </cell>
        </row>
        <row r="567">
          <cell r="E567" t="str">
            <v/>
          </cell>
          <cell r="F567" t="str">
            <v>JIG</v>
          </cell>
        </row>
        <row r="568">
          <cell r="E568" t="str">
            <v/>
          </cell>
          <cell r="F568" t="str">
            <v>JIG</v>
          </cell>
        </row>
        <row r="569">
          <cell r="E569" t="str">
            <v/>
          </cell>
          <cell r="F569" t="str">
            <v>JIG</v>
          </cell>
        </row>
        <row r="570">
          <cell r="E570" t="str">
            <v/>
          </cell>
          <cell r="F570" t="str">
            <v>JIG</v>
          </cell>
        </row>
        <row r="571">
          <cell r="E571" t="str">
            <v/>
          </cell>
          <cell r="F571" t="str">
            <v>JIG</v>
          </cell>
        </row>
        <row r="572">
          <cell r="E572" t="str">
            <v/>
          </cell>
          <cell r="F572" t="str">
            <v>JIG</v>
          </cell>
        </row>
        <row r="573">
          <cell r="E573" t="str">
            <v/>
          </cell>
          <cell r="F573" t="str">
            <v>JIG</v>
          </cell>
        </row>
        <row r="574">
          <cell r="E574" t="str">
            <v/>
          </cell>
          <cell r="F574" t="str">
            <v>JIG</v>
          </cell>
        </row>
        <row r="575">
          <cell r="E575" t="str">
            <v/>
          </cell>
          <cell r="F575" t="str">
            <v>JIG</v>
          </cell>
        </row>
        <row r="576">
          <cell r="E576" t="str">
            <v/>
          </cell>
          <cell r="F576" t="str">
            <v>JIG</v>
          </cell>
        </row>
        <row r="577">
          <cell r="E577" t="str">
            <v/>
          </cell>
          <cell r="F577" t="str">
            <v>JIG</v>
          </cell>
        </row>
        <row r="578">
          <cell r="E578" t="str">
            <v/>
          </cell>
          <cell r="F578" t="str">
            <v>JIG</v>
          </cell>
        </row>
        <row r="579">
          <cell r="E579" t="str">
            <v/>
          </cell>
          <cell r="F579" t="str">
            <v>JIG</v>
          </cell>
        </row>
        <row r="580">
          <cell r="E580" t="str">
            <v/>
          </cell>
          <cell r="F580" t="str">
            <v>JIG</v>
          </cell>
        </row>
        <row r="581">
          <cell r="E581" t="str">
            <v/>
          </cell>
          <cell r="F581" t="str">
            <v>JIG</v>
          </cell>
        </row>
        <row r="582">
          <cell r="E582" t="str">
            <v/>
          </cell>
          <cell r="F582" t="str">
            <v>JIG</v>
          </cell>
        </row>
        <row r="583">
          <cell r="E583" t="str">
            <v/>
          </cell>
          <cell r="F583" t="str">
            <v>JIG</v>
          </cell>
        </row>
        <row r="584">
          <cell r="E584" t="str">
            <v/>
          </cell>
          <cell r="F584" t="str">
            <v>JIG</v>
          </cell>
        </row>
        <row r="585">
          <cell r="E585" t="str">
            <v/>
          </cell>
          <cell r="F585" t="str">
            <v>JIG</v>
          </cell>
        </row>
        <row r="586">
          <cell r="E586" t="str">
            <v/>
          </cell>
          <cell r="F586" t="str">
            <v>JIG</v>
          </cell>
        </row>
        <row r="587">
          <cell r="E587" t="str">
            <v/>
          </cell>
          <cell r="F587" t="str">
            <v>JIG</v>
          </cell>
        </row>
        <row r="588">
          <cell r="E588" t="str">
            <v/>
          </cell>
          <cell r="F588" t="str">
            <v>JIG</v>
          </cell>
        </row>
        <row r="589">
          <cell r="E589" t="str">
            <v/>
          </cell>
          <cell r="F589" t="str">
            <v>JIG</v>
          </cell>
        </row>
        <row r="590">
          <cell r="E590" t="str">
            <v/>
          </cell>
        </row>
        <row r="591">
          <cell r="E591" t="str">
            <v/>
          </cell>
          <cell r="F591" t="str">
            <v>JIG</v>
          </cell>
        </row>
        <row r="592">
          <cell r="E592" t="str">
            <v/>
          </cell>
          <cell r="F592" t="str">
            <v>JIG</v>
          </cell>
        </row>
        <row r="593">
          <cell r="E593" t="str">
            <v/>
          </cell>
          <cell r="F593" t="str">
            <v>JIG</v>
          </cell>
        </row>
        <row r="594">
          <cell r="E594" t="str">
            <v/>
          </cell>
          <cell r="F594" t="str">
            <v>JIG</v>
          </cell>
        </row>
        <row r="595">
          <cell r="E595" t="str">
            <v/>
          </cell>
          <cell r="F595" t="str">
            <v>JIG</v>
          </cell>
        </row>
        <row r="596">
          <cell r="E596" t="str">
            <v/>
          </cell>
          <cell r="F596" t="str">
            <v>JIG</v>
          </cell>
        </row>
        <row r="597">
          <cell r="E597" t="str">
            <v/>
          </cell>
          <cell r="F597" t="str">
            <v>JIG</v>
          </cell>
        </row>
        <row r="598">
          <cell r="E598" t="str">
            <v/>
          </cell>
          <cell r="F598" t="str">
            <v>JIG</v>
          </cell>
        </row>
        <row r="599">
          <cell r="E599" t="str">
            <v/>
          </cell>
          <cell r="F599" t="str">
            <v>JIG</v>
          </cell>
        </row>
        <row r="600">
          <cell r="E600" t="str">
            <v/>
          </cell>
          <cell r="F600" t="str">
            <v>JIG</v>
          </cell>
        </row>
        <row r="601">
          <cell r="E601" t="str">
            <v/>
          </cell>
          <cell r="F601" t="str">
            <v>JIG</v>
          </cell>
        </row>
        <row r="602">
          <cell r="E602" t="str">
            <v/>
          </cell>
          <cell r="F602" t="str">
            <v>JIG</v>
          </cell>
        </row>
        <row r="603">
          <cell r="E603" t="str">
            <v/>
          </cell>
          <cell r="F603" t="str">
            <v>JIG</v>
          </cell>
        </row>
        <row r="604">
          <cell r="E604" t="str">
            <v/>
          </cell>
          <cell r="F604" t="str">
            <v>JIG</v>
          </cell>
        </row>
        <row r="605">
          <cell r="E605" t="str">
            <v/>
          </cell>
          <cell r="F605" t="str">
            <v>JIG</v>
          </cell>
        </row>
        <row r="606">
          <cell r="E606" t="str">
            <v/>
          </cell>
          <cell r="F606" t="str">
            <v>JIG</v>
          </cell>
        </row>
        <row r="607">
          <cell r="E607" t="str">
            <v/>
          </cell>
          <cell r="F607" t="str">
            <v>JIG</v>
          </cell>
        </row>
        <row r="608">
          <cell r="E608" t="str">
            <v/>
          </cell>
          <cell r="F608" t="str">
            <v>JIG</v>
          </cell>
        </row>
        <row r="609">
          <cell r="E609" t="str">
            <v/>
          </cell>
          <cell r="F609" t="str">
            <v>JIG</v>
          </cell>
        </row>
        <row r="610">
          <cell r="E610" t="str">
            <v/>
          </cell>
          <cell r="F610" t="str">
            <v>JIG</v>
          </cell>
        </row>
        <row r="611">
          <cell r="E611" t="str">
            <v/>
          </cell>
          <cell r="F611" t="str">
            <v>JIG</v>
          </cell>
        </row>
        <row r="612">
          <cell r="E612" t="str">
            <v/>
          </cell>
          <cell r="F612" t="str">
            <v>JIG</v>
          </cell>
        </row>
        <row r="613">
          <cell r="E613" t="str">
            <v/>
          </cell>
          <cell r="F613" t="str">
            <v>JIG</v>
          </cell>
        </row>
        <row r="614">
          <cell r="E614" t="str">
            <v/>
          </cell>
          <cell r="F614" t="str">
            <v>JIG</v>
          </cell>
        </row>
        <row r="615">
          <cell r="E615" t="str">
            <v/>
          </cell>
          <cell r="F615" t="str">
            <v>JIG</v>
          </cell>
        </row>
        <row r="616">
          <cell r="E616" t="str">
            <v/>
          </cell>
          <cell r="F616" t="str">
            <v>JIG</v>
          </cell>
        </row>
        <row r="617">
          <cell r="E617" t="str">
            <v/>
          </cell>
          <cell r="F617" t="str">
            <v>JIG</v>
          </cell>
        </row>
        <row r="618">
          <cell r="E618" t="str">
            <v/>
          </cell>
          <cell r="F618" t="str">
            <v>JIG</v>
          </cell>
        </row>
        <row r="619">
          <cell r="E619" t="str">
            <v/>
          </cell>
          <cell r="F619" t="str">
            <v>JIG</v>
          </cell>
        </row>
        <row r="620">
          <cell r="E620" t="str">
            <v/>
          </cell>
          <cell r="F620" t="str">
            <v>JIG</v>
          </cell>
        </row>
        <row r="621">
          <cell r="E621" t="str">
            <v/>
          </cell>
          <cell r="F621" t="str">
            <v>JIG</v>
          </cell>
        </row>
        <row r="622">
          <cell r="E622" t="str">
            <v/>
          </cell>
          <cell r="F622" t="str">
            <v>JIG</v>
          </cell>
        </row>
        <row r="623">
          <cell r="E623" t="str">
            <v/>
          </cell>
          <cell r="F623" t="str">
            <v>JIG</v>
          </cell>
        </row>
        <row r="624">
          <cell r="E624" t="str">
            <v/>
          </cell>
        </row>
        <row r="625">
          <cell r="E625" t="str">
            <v/>
          </cell>
        </row>
        <row r="626">
          <cell r="E626" t="str">
            <v/>
          </cell>
          <cell r="F626" t="str">
            <v>JIG</v>
          </cell>
        </row>
        <row r="627">
          <cell r="E627" t="str">
            <v/>
          </cell>
        </row>
        <row r="628">
          <cell r="E628" t="str">
            <v/>
          </cell>
        </row>
        <row r="629">
          <cell r="E629" t="str">
            <v/>
          </cell>
        </row>
        <row r="630">
          <cell r="E630" t="str">
            <v/>
          </cell>
        </row>
        <row r="631">
          <cell r="E631" t="str">
            <v/>
          </cell>
        </row>
        <row r="632">
          <cell r="E632" t="str">
            <v/>
          </cell>
        </row>
        <row r="633">
          <cell r="E633" t="str">
            <v/>
          </cell>
          <cell r="F633" t="str">
            <v>JIG</v>
          </cell>
        </row>
        <row r="634">
          <cell r="E634" t="str">
            <v/>
          </cell>
          <cell r="F634" t="str">
            <v>JIG</v>
          </cell>
        </row>
        <row r="635">
          <cell r="E635" t="str">
            <v/>
          </cell>
          <cell r="F635" t="str">
            <v>JIG</v>
          </cell>
        </row>
        <row r="636">
          <cell r="E636" t="str">
            <v/>
          </cell>
          <cell r="F636" t="str">
            <v>JIG</v>
          </cell>
        </row>
        <row r="637">
          <cell r="E637" t="str">
            <v/>
          </cell>
          <cell r="F637" t="str">
            <v>JIG</v>
          </cell>
        </row>
        <row r="638">
          <cell r="E638" t="str">
            <v/>
          </cell>
          <cell r="F638" t="str">
            <v>JIG</v>
          </cell>
        </row>
        <row r="639">
          <cell r="E639" t="str">
            <v/>
          </cell>
          <cell r="F639" t="str">
            <v>JIG</v>
          </cell>
        </row>
        <row r="640">
          <cell r="E640" t="str">
            <v/>
          </cell>
          <cell r="F640" t="str">
            <v>JIG</v>
          </cell>
        </row>
        <row r="641">
          <cell r="E641" t="str">
            <v/>
          </cell>
          <cell r="F641" t="str">
            <v>JIG</v>
          </cell>
        </row>
        <row r="642">
          <cell r="E642" t="str">
            <v/>
          </cell>
          <cell r="F642" t="str">
            <v>JIG</v>
          </cell>
        </row>
        <row r="643">
          <cell r="E643" t="str">
            <v/>
          </cell>
          <cell r="F643" t="str">
            <v>JIG</v>
          </cell>
        </row>
        <row r="644">
          <cell r="E644" t="str">
            <v/>
          </cell>
          <cell r="F644" t="str">
            <v>JIG</v>
          </cell>
        </row>
        <row r="645">
          <cell r="E645" t="str">
            <v/>
          </cell>
          <cell r="F645" t="str">
            <v>JIG</v>
          </cell>
        </row>
        <row r="646">
          <cell r="E646" t="str">
            <v/>
          </cell>
          <cell r="F646" t="str">
            <v>JIG</v>
          </cell>
        </row>
        <row r="647">
          <cell r="E647" t="str">
            <v/>
          </cell>
          <cell r="F647" t="str">
            <v>JIG</v>
          </cell>
        </row>
        <row r="648">
          <cell r="E648" t="str">
            <v/>
          </cell>
          <cell r="F648" t="str">
            <v>JIG</v>
          </cell>
        </row>
        <row r="649">
          <cell r="E649" t="str">
            <v/>
          </cell>
          <cell r="F649" t="str">
            <v>JIG</v>
          </cell>
        </row>
        <row r="650">
          <cell r="E650" t="str">
            <v/>
          </cell>
          <cell r="F650" t="str">
            <v>JIG</v>
          </cell>
        </row>
        <row r="651">
          <cell r="E651" t="str">
            <v/>
          </cell>
          <cell r="F651" t="str">
            <v>JIG</v>
          </cell>
        </row>
        <row r="652">
          <cell r="E652" t="str">
            <v/>
          </cell>
          <cell r="F652" t="str">
            <v>JIG</v>
          </cell>
        </row>
        <row r="653">
          <cell r="E653" t="str">
            <v/>
          </cell>
          <cell r="F653" t="str">
            <v>JIG</v>
          </cell>
        </row>
        <row r="654">
          <cell r="E654" t="str">
            <v/>
          </cell>
          <cell r="F654" t="str">
            <v>JIG</v>
          </cell>
        </row>
        <row r="655">
          <cell r="E655" t="str">
            <v/>
          </cell>
          <cell r="F655" t="str">
            <v>JIG</v>
          </cell>
        </row>
        <row r="656">
          <cell r="E656" t="str">
            <v/>
          </cell>
          <cell r="F656" t="str">
            <v>JIG</v>
          </cell>
        </row>
        <row r="657">
          <cell r="E657" t="str">
            <v/>
          </cell>
          <cell r="F657" t="str">
            <v>JIG</v>
          </cell>
        </row>
        <row r="658">
          <cell r="E658" t="str">
            <v/>
          </cell>
          <cell r="F658" t="str">
            <v>JIG</v>
          </cell>
        </row>
        <row r="659">
          <cell r="E659" t="str">
            <v/>
          </cell>
          <cell r="F659" t="str">
            <v>JIG</v>
          </cell>
        </row>
        <row r="660">
          <cell r="E660" t="str">
            <v/>
          </cell>
          <cell r="F660" t="str">
            <v>JIG</v>
          </cell>
        </row>
        <row r="661">
          <cell r="E661" t="str">
            <v/>
          </cell>
          <cell r="F661" t="str">
            <v>JIG</v>
          </cell>
        </row>
        <row r="662">
          <cell r="E662" t="str">
            <v/>
          </cell>
          <cell r="F662" t="str">
            <v>JIG OFFICE SUPPLIES</v>
          </cell>
        </row>
        <row r="663">
          <cell r="E663" t="str">
            <v/>
          </cell>
          <cell r="F663" t="str">
            <v>JIG OFFICE SUPPLIES</v>
          </cell>
        </row>
        <row r="664">
          <cell r="E664" t="str">
            <v/>
          </cell>
          <cell r="F664" t="str">
            <v>JIG OFFICE SUPPLIES</v>
          </cell>
        </row>
        <row r="665">
          <cell r="E665" t="str">
            <v/>
          </cell>
          <cell r="F665" t="str">
            <v>JIG</v>
          </cell>
        </row>
        <row r="666">
          <cell r="E666" t="str">
            <v/>
          </cell>
          <cell r="F666" t="str">
            <v>JIG</v>
          </cell>
        </row>
        <row r="667">
          <cell r="E667" t="str">
            <v/>
          </cell>
          <cell r="F667" t="str">
            <v>JIG</v>
          </cell>
        </row>
        <row r="668">
          <cell r="E668" t="str">
            <v/>
          </cell>
          <cell r="F668" t="str">
            <v>JIG</v>
          </cell>
        </row>
        <row r="669">
          <cell r="E669" t="str">
            <v/>
          </cell>
          <cell r="F669" t="str">
            <v>JIG</v>
          </cell>
        </row>
        <row r="670">
          <cell r="E670" t="str">
            <v/>
          </cell>
          <cell r="F670" t="str">
            <v>JIG</v>
          </cell>
        </row>
        <row r="671">
          <cell r="E671" t="str">
            <v/>
          </cell>
          <cell r="F671" t="str">
            <v>JIG</v>
          </cell>
        </row>
        <row r="672">
          <cell r="E672" t="str">
            <v/>
          </cell>
          <cell r="F672" t="str">
            <v>JIG</v>
          </cell>
        </row>
        <row r="673">
          <cell r="E673" t="str">
            <v/>
          </cell>
          <cell r="F673" t="str">
            <v>JIG</v>
          </cell>
        </row>
        <row r="674">
          <cell r="E674" t="str">
            <v/>
          </cell>
          <cell r="F674" t="str">
            <v>JIG</v>
          </cell>
        </row>
        <row r="675">
          <cell r="E675" t="str">
            <v/>
          </cell>
          <cell r="F675" t="str">
            <v>JIG</v>
          </cell>
        </row>
        <row r="676">
          <cell r="E676" t="str">
            <v/>
          </cell>
          <cell r="F676" t="str">
            <v>JIG</v>
          </cell>
        </row>
        <row r="677">
          <cell r="E677" t="str">
            <v/>
          </cell>
          <cell r="F677" t="str">
            <v>JIG</v>
          </cell>
        </row>
        <row r="678">
          <cell r="E678" t="str">
            <v/>
          </cell>
          <cell r="F678" t="str">
            <v>JIG</v>
          </cell>
        </row>
        <row r="679">
          <cell r="E679" t="str">
            <v/>
          </cell>
          <cell r="F679" t="str">
            <v>JIG</v>
          </cell>
        </row>
        <row r="680">
          <cell r="E680" t="str">
            <v/>
          </cell>
          <cell r="F680" t="str">
            <v>JIG</v>
          </cell>
        </row>
        <row r="681">
          <cell r="E681" t="str">
            <v/>
          </cell>
          <cell r="F681" t="str">
            <v>JIG</v>
          </cell>
        </row>
        <row r="682">
          <cell r="E682" t="str">
            <v/>
          </cell>
          <cell r="F682" t="str">
            <v>JIG</v>
          </cell>
        </row>
        <row r="683">
          <cell r="E683" t="str">
            <v/>
          </cell>
          <cell r="F683" t="str">
            <v>JIG</v>
          </cell>
        </row>
        <row r="684">
          <cell r="E684" t="str">
            <v/>
          </cell>
          <cell r="F684" t="str">
            <v>JIG</v>
          </cell>
        </row>
        <row r="685">
          <cell r="E685" t="str">
            <v/>
          </cell>
          <cell r="F685" t="str">
            <v>JIG</v>
          </cell>
        </row>
        <row r="686">
          <cell r="E686" t="str">
            <v/>
          </cell>
          <cell r="F686" t="str">
            <v>JIG</v>
          </cell>
        </row>
        <row r="687">
          <cell r="E687" t="str">
            <v/>
          </cell>
          <cell r="F687" t="str">
            <v>JIG</v>
          </cell>
        </row>
        <row r="688">
          <cell r="E688" t="str">
            <v/>
          </cell>
          <cell r="F688" t="str">
            <v>JIG</v>
          </cell>
        </row>
        <row r="689">
          <cell r="E689" t="str">
            <v/>
          </cell>
          <cell r="F689" t="str">
            <v>JIG</v>
          </cell>
        </row>
        <row r="690">
          <cell r="E690" t="str">
            <v/>
          </cell>
          <cell r="F690" t="str">
            <v>JIG</v>
          </cell>
        </row>
        <row r="691">
          <cell r="E691" t="str">
            <v/>
          </cell>
          <cell r="F691" t="str">
            <v>JIG</v>
          </cell>
        </row>
        <row r="692">
          <cell r="E692" t="str">
            <v/>
          </cell>
          <cell r="F692" t="str">
            <v>JIG</v>
          </cell>
        </row>
        <row r="693">
          <cell r="E693" t="str">
            <v/>
          </cell>
          <cell r="F693" t="str">
            <v>JIG</v>
          </cell>
        </row>
        <row r="694">
          <cell r="E694" t="str">
            <v/>
          </cell>
          <cell r="F694" t="str">
            <v>JIG</v>
          </cell>
        </row>
        <row r="695">
          <cell r="E695" t="str">
            <v/>
          </cell>
          <cell r="F695" t="str">
            <v>JIG</v>
          </cell>
        </row>
        <row r="696">
          <cell r="E696" t="str">
            <v/>
          </cell>
          <cell r="F696" t="str">
            <v>JIG</v>
          </cell>
        </row>
        <row r="697">
          <cell r="E697" t="str">
            <v/>
          </cell>
          <cell r="F697" t="str">
            <v>JIG</v>
          </cell>
        </row>
        <row r="698">
          <cell r="E698" t="str">
            <v/>
          </cell>
          <cell r="F698" t="str">
            <v>JIG</v>
          </cell>
        </row>
        <row r="699">
          <cell r="E699" t="str">
            <v/>
          </cell>
          <cell r="F699" t="str">
            <v>JIG</v>
          </cell>
        </row>
        <row r="700">
          <cell r="E700" t="str">
            <v/>
          </cell>
          <cell r="F700" t="str">
            <v>JIG</v>
          </cell>
        </row>
        <row r="701">
          <cell r="E701" t="str">
            <v/>
          </cell>
          <cell r="F701" t="str">
            <v>JIG</v>
          </cell>
        </row>
        <row r="702">
          <cell r="E702" t="str">
            <v/>
          </cell>
          <cell r="F702" t="str">
            <v>JIG</v>
          </cell>
        </row>
        <row r="703">
          <cell r="E703" t="str">
            <v/>
          </cell>
          <cell r="F703" t="str">
            <v>JIG</v>
          </cell>
        </row>
        <row r="704">
          <cell r="E704" t="str">
            <v/>
          </cell>
          <cell r="F704" t="str">
            <v>JIG</v>
          </cell>
        </row>
        <row r="705">
          <cell r="E705" t="str">
            <v/>
          </cell>
          <cell r="F705" t="str">
            <v>JIG</v>
          </cell>
        </row>
        <row r="706">
          <cell r="E706" t="str">
            <v/>
          </cell>
          <cell r="F706" t="str">
            <v>JIG</v>
          </cell>
        </row>
        <row r="707">
          <cell r="E707" t="str">
            <v/>
          </cell>
          <cell r="F707" t="str">
            <v>JIG</v>
          </cell>
        </row>
        <row r="708">
          <cell r="E708" t="str">
            <v/>
          </cell>
          <cell r="F708" t="str">
            <v>JIG</v>
          </cell>
        </row>
        <row r="709">
          <cell r="E709" t="str">
            <v/>
          </cell>
          <cell r="F709" t="str">
            <v>JIG</v>
          </cell>
        </row>
        <row r="710">
          <cell r="E710" t="str">
            <v/>
          </cell>
          <cell r="F710" t="str">
            <v>JIG</v>
          </cell>
        </row>
        <row r="711">
          <cell r="E711" t="str">
            <v/>
          </cell>
          <cell r="F711" t="str">
            <v>JIG</v>
          </cell>
        </row>
        <row r="712">
          <cell r="E712" t="str">
            <v/>
          </cell>
          <cell r="F712" t="str">
            <v>JIG</v>
          </cell>
        </row>
        <row r="713">
          <cell r="E713" t="str">
            <v/>
          </cell>
          <cell r="F713" t="str">
            <v>JIG</v>
          </cell>
        </row>
        <row r="714">
          <cell r="E714" t="str">
            <v/>
          </cell>
          <cell r="F714" t="str">
            <v>JIG</v>
          </cell>
        </row>
        <row r="715">
          <cell r="E715" t="str">
            <v/>
          </cell>
          <cell r="F715" t="str">
            <v>JIG</v>
          </cell>
        </row>
        <row r="716">
          <cell r="E716" t="str">
            <v/>
          </cell>
          <cell r="F716" t="str">
            <v>JIG</v>
          </cell>
        </row>
        <row r="717">
          <cell r="E717" t="str">
            <v/>
          </cell>
          <cell r="F717" t="str">
            <v>JIG</v>
          </cell>
        </row>
        <row r="718">
          <cell r="E718" t="str">
            <v/>
          </cell>
          <cell r="F718" t="str">
            <v>JIG</v>
          </cell>
        </row>
        <row r="719">
          <cell r="E719" t="str">
            <v/>
          </cell>
          <cell r="F719" t="str">
            <v>JIG</v>
          </cell>
        </row>
        <row r="720">
          <cell r="E720" t="str">
            <v/>
          </cell>
          <cell r="F720" t="str">
            <v>JIG</v>
          </cell>
        </row>
        <row r="721">
          <cell r="E721" t="str">
            <v/>
          </cell>
          <cell r="F721" t="str">
            <v>JIG</v>
          </cell>
        </row>
        <row r="722">
          <cell r="E722" t="str">
            <v/>
          </cell>
          <cell r="F722" t="str">
            <v>JIG</v>
          </cell>
        </row>
        <row r="723">
          <cell r="E723" t="str">
            <v/>
          </cell>
          <cell r="F723" t="str">
            <v>JIG</v>
          </cell>
        </row>
        <row r="724">
          <cell r="E724" t="str">
            <v/>
          </cell>
          <cell r="F724" t="str">
            <v>JIG</v>
          </cell>
        </row>
        <row r="725">
          <cell r="E725" t="str">
            <v/>
          </cell>
          <cell r="F725" t="str">
            <v>JIG</v>
          </cell>
        </row>
        <row r="726">
          <cell r="E726" t="str">
            <v/>
          </cell>
        </row>
        <row r="727">
          <cell r="E727" t="str">
            <v/>
          </cell>
          <cell r="F727" t="str">
            <v>JIG</v>
          </cell>
        </row>
        <row r="728">
          <cell r="E728" t="str">
            <v/>
          </cell>
          <cell r="F728" t="str">
            <v>JIG</v>
          </cell>
        </row>
        <row r="729">
          <cell r="E729" t="str">
            <v/>
          </cell>
          <cell r="F729" t="str">
            <v>JIG</v>
          </cell>
        </row>
        <row r="730">
          <cell r="E730" t="str">
            <v/>
          </cell>
          <cell r="F730" t="str">
            <v>JIG</v>
          </cell>
        </row>
        <row r="731">
          <cell r="E731" t="str">
            <v/>
          </cell>
          <cell r="F731" t="str">
            <v>JIG</v>
          </cell>
        </row>
        <row r="732">
          <cell r="E732" t="str">
            <v/>
          </cell>
          <cell r="F732" t="str">
            <v>JIG</v>
          </cell>
        </row>
        <row r="733">
          <cell r="E733" t="str">
            <v/>
          </cell>
          <cell r="F733" t="str">
            <v>JIG</v>
          </cell>
        </row>
        <row r="734">
          <cell r="E734" t="str">
            <v/>
          </cell>
          <cell r="F734" t="str">
            <v>JIG</v>
          </cell>
        </row>
        <row r="735">
          <cell r="E735" t="str">
            <v/>
          </cell>
          <cell r="F735" t="str">
            <v>JIG</v>
          </cell>
        </row>
        <row r="736">
          <cell r="E736" t="str">
            <v/>
          </cell>
          <cell r="F736" t="str">
            <v>JIG</v>
          </cell>
        </row>
        <row r="737">
          <cell r="E737" t="str">
            <v/>
          </cell>
          <cell r="F737" t="str">
            <v>JIG</v>
          </cell>
        </row>
        <row r="738">
          <cell r="E738" t="str">
            <v/>
          </cell>
          <cell r="F738" t="str">
            <v>JIG</v>
          </cell>
        </row>
        <row r="739">
          <cell r="E739" t="str">
            <v/>
          </cell>
          <cell r="F739" t="str">
            <v>JIG</v>
          </cell>
        </row>
        <row r="740">
          <cell r="E740" t="str">
            <v/>
          </cell>
          <cell r="F740" t="str">
            <v>JIG</v>
          </cell>
        </row>
        <row r="741">
          <cell r="E741" t="str">
            <v/>
          </cell>
          <cell r="F741" t="str">
            <v>JIG</v>
          </cell>
        </row>
        <row r="742">
          <cell r="E742" t="str">
            <v/>
          </cell>
          <cell r="F742" t="str">
            <v>JIG</v>
          </cell>
        </row>
        <row r="743">
          <cell r="E743" t="str">
            <v/>
          </cell>
          <cell r="F743" t="str">
            <v>JIG</v>
          </cell>
        </row>
        <row r="744">
          <cell r="E744" t="str">
            <v/>
          </cell>
          <cell r="F744" t="str">
            <v>JIG</v>
          </cell>
        </row>
        <row r="745">
          <cell r="E745" t="str">
            <v/>
          </cell>
          <cell r="F745" t="str">
            <v>JIG</v>
          </cell>
        </row>
        <row r="746">
          <cell r="E746" t="str">
            <v/>
          </cell>
          <cell r="F746" t="str">
            <v>JIG</v>
          </cell>
        </row>
        <row r="747">
          <cell r="E747" t="str">
            <v/>
          </cell>
          <cell r="F747" t="str">
            <v>JIG</v>
          </cell>
        </row>
        <row r="748">
          <cell r="E748" t="str">
            <v/>
          </cell>
          <cell r="F748" t="str">
            <v>JIG</v>
          </cell>
        </row>
        <row r="749">
          <cell r="E749" t="str">
            <v/>
          </cell>
          <cell r="F749" t="str">
            <v>JIG</v>
          </cell>
        </row>
        <row r="750">
          <cell r="E750" t="str">
            <v/>
          </cell>
          <cell r="F750" t="str">
            <v>JIG</v>
          </cell>
        </row>
        <row r="751">
          <cell r="E751" t="str">
            <v/>
          </cell>
          <cell r="F751" t="str">
            <v>JIG</v>
          </cell>
        </row>
        <row r="752">
          <cell r="E752" t="str">
            <v/>
          </cell>
          <cell r="F752" t="str">
            <v>JIG</v>
          </cell>
        </row>
        <row r="753">
          <cell r="E753" t="str">
            <v/>
          </cell>
          <cell r="F753" t="str">
            <v>JIG</v>
          </cell>
        </row>
        <row r="754">
          <cell r="E754" t="str">
            <v/>
          </cell>
          <cell r="F754" t="str">
            <v>JIG</v>
          </cell>
        </row>
        <row r="755">
          <cell r="E755" t="str">
            <v/>
          </cell>
          <cell r="F755" t="str">
            <v>JIG</v>
          </cell>
        </row>
        <row r="756">
          <cell r="E756" t="str">
            <v/>
          </cell>
          <cell r="F756" t="str">
            <v>JIG</v>
          </cell>
        </row>
        <row r="757">
          <cell r="E757" t="str">
            <v/>
          </cell>
          <cell r="F757" t="str">
            <v>JIG</v>
          </cell>
        </row>
        <row r="758">
          <cell r="E758" t="str">
            <v/>
          </cell>
          <cell r="F758" t="str">
            <v>JIG</v>
          </cell>
        </row>
        <row r="759">
          <cell r="E759" t="str">
            <v/>
          </cell>
          <cell r="F759" t="str">
            <v>JIG</v>
          </cell>
        </row>
        <row r="760">
          <cell r="E760" t="str">
            <v/>
          </cell>
          <cell r="F760" t="str">
            <v>JIG</v>
          </cell>
        </row>
        <row r="761">
          <cell r="E761" t="str">
            <v/>
          </cell>
        </row>
        <row r="762">
          <cell r="E762" t="str">
            <v/>
          </cell>
        </row>
        <row r="763">
          <cell r="E763" t="str">
            <v/>
          </cell>
          <cell r="F763" t="str">
            <v>JIG</v>
          </cell>
        </row>
        <row r="764">
          <cell r="E764" t="str">
            <v/>
          </cell>
          <cell r="F764" t="str">
            <v>JIG</v>
          </cell>
        </row>
        <row r="765">
          <cell r="E765" t="str">
            <v/>
          </cell>
          <cell r="F765" t="str">
            <v>JIG</v>
          </cell>
        </row>
        <row r="766">
          <cell r="E766" t="str">
            <v/>
          </cell>
          <cell r="F766" t="str">
            <v>JIG</v>
          </cell>
        </row>
        <row r="767">
          <cell r="E767" t="str">
            <v/>
          </cell>
          <cell r="F767" t="str">
            <v>JIG</v>
          </cell>
        </row>
        <row r="768">
          <cell r="E768" t="str">
            <v/>
          </cell>
          <cell r="F768" t="str">
            <v>JIG</v>
          </cell>
        </row>
        <row r="769">
          <cell r="E769" t="str">
            <v/>
          </cell>
          <cell r="F769" t="str">
            <v>JIG</v>
          </cell>
        </row>
        <row r="770">
          <cell r="E770" t="str">
            <v/>
          </cell>
          <cell r="F770" t="str">
            <v>JIG</v>
          </cell>
        </row>
        <row r="771">
          <cell r="E771" t="str">
            <v/>
          </cell>
        </row>
        <row r="772">
          <cell r="E772" t="str">
            <v/>
          </cell>
        </row>
        <row r="773">
          <cell r="E773" t="str">
            <v/>
          </cell>
        </row>
        <row r="774">
          <cell r="E774" t="str">
            <v/>
          </cell>
        </row>
        <row r="775">
          <cell r="E775" t="str">
            <v/>
          </cell>
          <cell r="F775" t="str">
            <v>JIG</v>
          </cell>
        </row>
        <row r="776">
          <cell r="E776" t="str">
            <v/>
          </cell>
        </row>
        <row r="777">
          <cell r="E777" t="str">
            <v/>
          </cell>
        </row>
        <row r="778">
          <cell r="E778" t="str">
            <v/>
          </cell>
        </row>
        <row r="779">
          <cell r="E779" t="str">
            <v/>
          </cell>
          <cell r="F779" t="str">
            <v>JIG</v>
          </cell>
        </row>
        <row r="780">
          <cell r="E780" t="str">
            <v/>
          </cell>
          <cell r="F780" t="str">
            <v>JIG</v>
          </cell>
        </row>
        <row r="781">
          <cell r="E781" t="str">
            <v/>
          </cell>
          <cell r="F781" t="str">
            <v>JIG</v>
          </cell>
        </row>
        <row r="782">
          <cell r="E782" t="str">
            <v/>
          </cell>
          <cell r="F782" t="str">
            <v>JIG</v>
          </cell>
        </row>
        <row r="783">
          <cell r="E783" t="str">
            <v/>
          </cell>
          <cell r="F783" t="str">
            <v>JIG</v>
          </cell>
        </row>
        <row r="784">
          <cell r="E784" t="str">
            <v/>
          </cell>
          <cell r="F784" t="str">
            <v>JIG</v>
          </cell>
        </row>
        <row r="785">
          <cell r="E785" t="str">
            <v/>
          </cell>
          <cell r="F785" t="str">
            <v>JIG</v>
          </cell>
        </row>
        <row r="786">
          <cell r="E786" t="str">
            <v/>
          </cell>
          <cell r="F786" t="str">
            <v>JIG</v>
          </cell>
        </row>
        <row r="787">
          <cell r="E787" t="str">
            <v/>
          </cell>
          <cell r="F787" t="str">
            <v>JIG</v>
          </cell>
        </row>
        <row r="788">
          <cell r="E788" t="str">
            <v/>
          </cell>
          <cell r="F788" t="str">
            <v>JIG</v>
          </cell>
        </row>
        <row r="789">
          <cell r="E789" t="str">
            <v/>
          </cell>
          <cell r="F789" t="str">
            <v>JIG</v>
          </cell>
        </row>
        <row r="790">
          <cell r="E790" t="str">
            <v/>
          </cell>
          <cell r="F790" t="str">
            <v>JIG</v>
          </cell>
        </row>
        <row r="791">
          <cell r="E791" t="str">
            <v/>
          </cell>
          <cell r="F791" t="str">
            <v>JIG</v>
          </cell>
        </row>
        <row r="792">
          <cell r="E792" t="str">
            <v/>
          </cell>
          <cell r="F792" t="str">
            <v>JIG</v>
          </cell>
        </row>
        <row r="793">
          <cell r="E793" t="str">
            <v/>
          </cell>
          <cell r="F793" t="str">
            <v>JIG</v>
          </cell>
        </row>
        <row r="794">
          <cell r="E794" t="str">
            <v/>
          </cell>
          <cell r="F794" t="str">
            <v>JIG</v>
          </cell>
        </row>
        <row r="795">
          <cell r="E795" t="str">
            <v/>
          </cell>
          <cell r="F795" t="str">
            <v>JIG</v>
          </cell>
        </row>
        <row r="796">
          <cell r="E796" t="str">
            <v/>
          </cell>
          <cell r="F796" t="str">
            <v>JIG</v>
          </cell>
        </row>
        <row r="797">
          <cell r="E797" t="str">
            <v/>
          </cell>
          <cell r="F797" t="str">
            <v>JIG</v>
          </cell>
        </row>
        <row r="798">
          <cell r="E798" t="str">
            <v/>
          </cell>
          <cell r="F798" t="str">
            <v>JIG</v>
          </cell>
        </row>
        <row r="799">
          <cell r="E799" t="str">
            <v/>
          </cell>
          <cell r="F799" t="str">
            <v>JIG</v>
          </cell>
        </row>
        <row r="800">
          <cell r="E800" t="str">
            <v/>
          </cell>
          <cell r="F800" t="str">
            <v>JIG OFFICE SUPPLIES</v>
          </cell>
        </row>
        <row r="801">
          <cell r="E801" t="str">
            <v/>
          </cell>
          <cell r="F801" t="str">
            <v>JIG OFFICE SUPPLIES</v>
          </cell>
        </row>
        <row r="802">
          <cell r="E802" t="str">
            <v/>
          </cell>
          <cell r="F802" t="str">
            <v>JIG</v>
          </cell>
        </row>
        <row r="803">
          <cell r="E803" t="str">
            <v/>
          </cell>
          <cell r="F803" t="str">
            <v>JIG</v>
          </cell>
        </row>
        <row r="804">
          <cell r="E804" t="str">
            <v/>
          </cell>
          <cell r="F804" t="str">
            <v>JIG</v>
          </cell>
        </row>
        <row r="805">
          <cell r="E805" t="str">
            <v/>
          </cell>
        </row>
        <row r="806">
          <cell r="E806" t="str">
            <v/>
          </cell>
        </row>
        <row r="807">
          <cell r="E807" t="str">
            <v/>
          </cell>
          <cell r="F807" t="str">
            <v>JIG</v>
          </cell>
        </row>
        <row r="808">
          <cell r="E808" t="str">
            <v/>
          </cell>
          <cell r="F808" t="str">
            <v>JIG</v>
          </cell>
        </row>
        <row r="809">
          <cell r="E809" t="str">
            <v/>
          </cell>
          <cell r="F809" t="str">
            <v>JIG</v>
          </cell>
        </row>
        <row r="810">
          <cell r="E810" t="str">
            <v/>
          </cell>
          <cell r="F810" t="str">
            <v>JIG</v>
          </cell>
        </row>
        <row r="811">
          <cell r="E811" t="str">
            <v/>
          </cell>
          <cell r="F811" t="str">
            <v>JIG</v>
          </cell>
        </row>
        <row r="812">
          <cell r="E812" t="str">
            <v/>
          </cell>
          <cell r="F812" t="str">
            <v>JIG</v>
          </cell>
        </row>
        <row r="813">
          <cell r="E813" t="str">
            <v/>
          </cell>
          <cell r="F813" t="str">
            <v>JIG</v>
          </cell>
        </row>
        <row r="814">
          <cell r="E814" t="str">
            <v/>
          </cell>
          <cell r="F814" t="str">
            <v>JIG</v>
          </cell>
        </row>
        <row r="815">
          <cell r="E815" t="str">
            <v/>
          </cell>
          <cell r="F815" t="str">
            <v>JIG</v>
          </cell>
        </row>
        <row r="816">
          <cell r="E816" t="str">
            <v/>
          </cell>
          <cell r="F816" t="str">
            <v>JIG</v>
          </cell>
        </row>
        <row r="817">
          <cell r="E817" t="str">
            <v/>
          </cell>
          <cell r="F817" t="str">
            <v>JIG</v>
          </cell>
        </row>
        <row r="818">
          <cell r="E818" t="str">
            <v/>
          </cell>
          <cell r="F818" t="str">
            <v>JIG</v>
          </cell>
        </row>
        <row r="819">
          <cell r="E819" t="str">
            <v/>
          </cell>
          <cell r="F819" t="str">
            <v>JIG</v>
          </cell>
        </row>
        <row r="820">
          <cell r="E820" t="str">
            <v/>
          </cell>
          <cell r="F820" t="str">
            <v>JIG</v>
          </cell>
        </row>
        <row r="821">
          <cell r="E821" t="str">
            <v/>
          </cell>
          <cell r="F821" t="str">
            <v>JIG</v>
          </cell>
        </row>
        <row r="822">
          <cell r="E822" t="str">
            <v/>
          </cell>
          <cell r="F822" t="str">
            <v>JIG</v>
          </cell>
        </row>
        <row r="823">
          <cell r="E823" t="str">
            <v/>
          </cell>
          <cell r="F823" t="str">
            <v>JIG</v>
          </cell>
        </row>
        <row r="824">
          <cell r="E824" t="str">
            <v/>
          </cell>
          <cell r="F824" t="str">
            <v>JIG</v>
          </cell>
        </row>
        <row r="825">
          <cell r="E825" t="str">
            <v/>
          </cell>
          <cell r="F825" t="str">
            <v>JIG</v>
          </cell>
        </row>
        <row r="826">
          <cell r="E826" t="str">
            <v/>
          </cell>
          <cell r="F826" t="str">
            <v>JIG</v>
          </cell>
        </row>
        <row r="827">
          <cell r="E827" t="str">
            <v/>
          </cell>
          <cell r="F827" t="str">
            <v>JIG</v>
          </cell>
        </row>
        <row r="828">
          <cell r="E828" t="str">
            <v/>
          </cell>
          <cell r="F828" t="str">
            <v>JIG</v>
          </cell>
        </row>
        <row r="829">
          <cell r="E829" t="str">
            <v/>
          </cell>
          <cell r="F829" t="str">
            <v>JIG</v>
          </cell>
        </row>
        <row r="830">
          <cell r="E830" t="str">
            <v/>
          </cell>
          <cell r="F830" t="str">
            <v>JIG</v>
          </cell>
        </row>
        <row r="831">
          <cell r="E831" t="str">
            <v/>
          </cell>
          <cell r="F831" t="str">
            <v>JIG</v>
          </cell>
        </row>
        <row r="832">
          <cell r="E832" t="str">
            <v/>
          </cell>
          <cell r="F832" t="str">
            <v>JIG</v>
          </cell>
        </row>
        <row r="833">
          <cell r="E833" t="str">
            <v/>
          </cell>
          <cell r="F833" t="str">
            <v>JIG</v>
          </cell>
        </row>
        <row r="834">
          <cell r="E834" t="str">
            <v/>
          </cell>
          <cell r="F834" t="str">
            <v>JIG</v>
          </cell>
        </row>
        <row r="835">
          <cell r="E835" t="str">
            <v/>
          </cell>
          <cell r="F835" t="str">
            <v>JIG</v>
          </cell>
        </row>
        <row r="836">
          <cell r="E836" t="str">
            <v/>
          </cell>
          <cell r="F836" t="str">
            <v>JIG</v>
          </cell>
        </row>
        <row r="837">
          <cell r="E837" t="str">
            <v/>
          </cell>
          <cell r="F837" t="str">
            <v>JIG</v>
          </cell>
        </row>
        <row r="838">
          <cell r="E838" t="str">
            <v/>
          </cell>
          <cell r="F838" t="str">
            <v>JIG</v>
          </cell>
        </row>
        <row r="839">
          <cell r="E839" t="str">
            <v/>
          </cell>
          <cell r="F839" t="str">
            <v>JIG</v>
          </cell>
        </row>
        <row r="840">
          <cell r="E840" t="str">
            <v/>
          </cell>
          <cell r="F840" t="str">
            <v>JIG</v>
          </cell>
        </row>
        <row r="841">
          <cell r="E841" t="str">
            <v/>
          </cell>
          <cell r="F841" t="str">
            <v>JIG</v>
          </cell>
        </row>
        <row r="842">
          <cell r="E842" t="str">
            <v/>
          </cell>
          <cell r="F842" t="str">
            <v>JIG</v>
          </cell>
        </row>
        <row r="843">
          <cell r="E843" t="str">
            <v/>
          </cell>
          <cell r="F843" t="str">
            <v>JIG</v>
          </cell>
        </row>
        <row r="844">
          <cell r="E844" t="str">
            <v/>
          </cell>
          <cell r="F844" t="str">
            <v>JIG</v>
          </cell>
        </row>
        <row r="845">
          <cell r="E845" t="str">
            <v/>
          </cell>
          <cell r="F845" t="str">
            <v>JIG</v>
          </cell>
        </row>
        <row r="846">
          <cell r="E846" t="str">
            <v/>
          </cell>
          <cell r="F846" t="str">
            <v>JIG</v>
          </cell>
        </row>
        <row r="847">
          <cell r="E847" t="str">
            <v/>
          </cell>
          <cell r="F847" t="str">
            <v>JIG</v>
          </cell>
        </row>
        <row r="848">
          <cell r="E848" t="str">
            <v/>
          </cell>
          <cell r="F848" t="str">
            <v>JIG</v>
          </cell>
        </row>
        <row r="849">
          <cell r="E849" t="str">
            <v/>
          </cell>
          <cell r="F849" t="str">
            <v>JIG</v>
          </cell>
        </row>
        <row r="850">
          <cell r="E850" t="str">
            <v/>
          </cell>
          <cell r="F850" t="str">
            <v>JIG</v>
          </cell>
        </row>
        <row r="851">
          <cell r="E851" t="str">
            <v/>
          </cell>
          <cell r="F851" t="str">
            <v>JIG</v>
          </cell>
        </row>
        <row r="852">
          <cell r="E852" t="str">
            <v/>
          </cell>
          <cell r="F852" t="str">
            <v>JIG</v>
          </cell>
        </row>
        <row r="853">
          <cell r="E853" t="str">
            <v/>
          </cell>
          <cell r="F853" t="str">
            <v>JIG</v>
          </cell>
        </row>
        <row r="854">
          <cell r="E854" t="str">
            <v/>
          </cell>
          <cell r="F854" t="str">
            <v>JIG</v>
          </cell>
        </row>
        <row r="855">
          <cell r="E855" t="str">
            <v/>
          </cell>
          <cell r="F855" t="str">
            <v>JIG</v>
          </cell>
        </row>
        <row r="856">
          <cell r="E856" t="str">
            <v/>
          </cell>
          <cell r="F856" t="str">
            <v>JIG</v>
          </cell>
        </row>
        <row r="857">
          <cell r="E857" t="str">
            <v/>
          </cell>
          <cell r="F857" t="str">
            <v>JIG</v>
          </cell>
        </row>
        <row r="858">
          <cell r="E858" t="str">
            <v/>
          </cell>
          <cell r="F858" t="str">
            <v>JIG</v>
          </cell>
        </row>
        <row r="859">
          <cell r="E859" t="str">
            <v/>
          </cell>
          <cell r="F859" t="str">
            <v>JIG</v>
          </cell>
        </row>
        <row r="860">
          <cell r="E860" t="str">
            <v/>
          </cell>
          <cell r="F860" t="str">
            <v>JIG</v>
          </cell>
        </row>
        <row r="861">
          <cell r="E861" t="str">
            <v/>
          </cell>
          <cell r="F861" t="str">
            <v>JIG</v>
          </cell>
        </row>
        <row r="862">
          <cell r="E862" t="str">
            <v/>
          </cell>
          <cell r="F862" t="str">
            <v>JIG</v>
          </cell>
        </row>
        <row r="863">
          <cell r="E863" t="str">
            <v/>
          </cell>
          <cell r="F863" t="str">
            <v>JIG</v>
          </cell>
        </row>
        <row r="864">
          <cell r="E864" t="str">
            <v/>
          </cell>
          <cell r="F864" t="str">
            <v>JIG</v>
          </cell>
        </row>
        <row r="865">
          <cell r="E865" t="str">
            <v/>
          </cell>
          <cell r="F865" t="str">
            <v>JIG</v>
          </cell>
        </row>
        <row r="866">
          <cell r="E866" t="str">
            <v/>
          </cell>
        </row>
        <row r="867">
          <cell r="E867" t="str">
            <v/>
          </cell>
          <cell r="F867" t="str">
            <v>JIG</v>
          </cell>
        </row>
        <row r="868">
          <cell r="E868" t="str">
            <v/>
          </cell>
          <cell r="F868" t="str">
            <v>JIG</v>
          </cell>
        </row>
        <row r="869">
          <cell r="E869" t="str">
            <v/>
          </cell>
          <cell r="F869" t="str">
            <v>JIG</v>
          </cell>
        </row>
        <row r="870">
          <cell r="E870" t="str">
            <v/>
          </cell>
          <cell r="F870" t="str">
            <v>JIG</v>
          </cell>
        </row>
        <row r="871">
          <cell r="E871" t="str">
            <v/>
          </cell>
          <cell r="F871" t="str">
            <v>JIG</v>
          </cell>
        </row>
        <row r="872">
          <cell r="E872" t="str">
            <v/>
          </cell>
          <cell r="F872" t="str">
            <v>JIG</v>
          </cell>
        </row>
        <row r="873">
          <cell r="E873" t="str">
            <v/>
          </cell>
          <cell r="F873" t="str">
            <v>JIG</v>
          </cell>
        </row>
        <row r="874">
          <cell r="E874" t="str">
            <v/>
          </cell>
          <cell r="F874" t="str">
            <v>JIG</v>
          </cell>
        </row>
        <row r="875">
          <cell r="E875" t="str">
            <v/>
          </cell>
        </row>
        <row r="876">
          <cell r="E876" t="str">
            <v/>
          </cell>
          <cell r="F876" t="str">
            <v>JIG</v>
          </cell>
        </row>
        <row r="877">
          <cell r="E877" t="str">
            <v/>
          </cell>
          <cell r="F877" t="str">
            <v>JIG</v>
          </cell>
        </row>
        <row r="878">
          <cell r="E878" t="str">
            <v/>
          </cell>
          <cell r="F878" t="str">
            <v>JIG</v>
          </cell>
        </row>
        <row r="879">
          <cell r="E879" t="str">
            <v/>
          </cell>
          <cell r="F879" t="str">
            <v>JIG</v>
          </cell>
        </row>
        <row r="880">
          <cell r="E880" t="str">
            <v/>
          </cell>
          <cell r="F880" t="str">
            <v>JIG</v>
          </cell>
        </row>
        <row r="881">
          <cell r="E881" t="str">
            <v/>
          </cell>
          <cell r="F881" t="str">
            <v>JIG</v>
          </cell>
        </row>
        <row r="882">
          <cell r="E882" t="str">
            <v/>
          </cell>
          <cell r="F882" t="str">
            <v>JIG</v>
          </cell>
        </row>
        <row r="883">
          <cell r="E883" t="str">
            <v/>
          </cell>
          <cell r="F883" t="str">
            <v>JIG</v>
          </cell>
        </row>
        <row r="884">
          <cell r="E884" t="str">
            <v/>
          </cell>
          <cell r="F884" t="str">
            <v>JIG</v>
          </cell>
        </row>
        <row r="885">
          <cell r="E885" t="str">
            <v/>
          </cell>
          <cell r="F885" t="str">
            <v>JIG</v>
          </cell>
        </row>
        <row r="886">
          <cell r="E886" t="str">
            <v/>
          </cell>
          <cell r="F886" t="str">
            <v>JIG</v>
          </cell>
        </row>
        <row r="887">
          <cell r="E887" t="str">
            <v/>
          </cell>
          <cell r="F887" t="str">
            <v>JIG</v>
          </cell>
        </row>
        <row r="888">
          <cell r="E888" t="str">
            <v/>
          </cell>
          <cell r="F888" t="str">
            <v>JIG</v>
          </cell>
        </row>
        <row r="889">
          <cell r="E889" t="str">
            <v/>
          </cell>
          <cell r="F889" t="str">
            <v>JIG</v>
          </cell>
        </row>
        <row r="890">
          <cell r="E890" t="str">
            <v/>
          </cell>
          <cell r="F890" t="str">
            <v>JIG</v>
          </cell>
        </row>
        <row r="891">
          <cell r="E891" t="str">
            <v/>
          </cell>
          <cell r="F891" t="str">
            <v>JIG</v>
          </cell>
        </row>
        <row r="892">
          <cell r="E892" t="str">
            <v/>
          </cell>
          <cell r="F892" t="str">
            <v>JIG</v>
          </cell>
        </row>
        <row r="893">
          <cell r="E893" t="str">
            <v/>
          </cell>
          <cell r="F893" t="str">
            <v>JIG</v>
          </cell>
        </row>
        <row r="894">
          <cell r="E894" t="str">
            <v/>
          </cell>
          <cell r="F894" t="str">
            <v>JIG</v>
          </cell>
        </row>
        <row r="895">
          <cell r="E895" t="str">
            <v/>
          </cell>
          <cell r="F895" t="str">
            <v>JIG</v>
          </cell>
        </row>
        <row r="896">
          <cell r="E896" t="str">
            <v/>
          </cell>
          <cell r="F896" t="str">
            <v>JIG</v>
          </cell>
        </row>
        <row r="897">
          <cell r="E897" t="str">
            <v/>
          </cell>
          <cell r="F897" t="str">
            <v>JIG</v>
          </cell>
        </row>
        <row r="898">
          <cell r="E898" t="str">
            <v/>
          </cell>
          <cell r="F898" t="str">
            <v>JIG</v>
          </cell>
        </row>
        <row r="899">
          <cell r="E899" t="str">
            <v/>
          </cell>
        </row>
        <row r="900">
          <cell r="E900" t="str">
            <v/>
          </cell>
        </row>
        <row r="901">
          <cell r="E901" t="str">
            <v/>
          </cell>
          <cell r="F901" t="str">
            <v>JIG</v>
          </cell>
        </row>
        <row r="902">
          <cell r="E902" t="str">
            <v/>
          </cell>
          <cell r="F902" t="str">
            <v>JIG</v>
          </cell>
        </row>
        <row r="903">
          <cell r="E903" t="str">
            <v/>
          </cell>
          <cell r="F903" t="str">
            <v>JIG</v>
          </cell>
        </row>
        <row r="904">
          <cell r="E904" t="str">
            <v/>
          </cell>
        </row>
        <row r="905">
          <cell r="E905" t="str">
            <v/>
          </cell>
          <cell r="F905" t="str">
            <v>JIG</v>
          </cell>
        </row>
        <row r="906">
          <cell r="E906" t="str">
            <v/>
          </cell>
          <cell r="F906" t="str">
            <v>JIG</v>
          </cell>
        </row>
        <row r="907">
          <cell r="E907" t="str">
            <v/>
          </cell>
          <cell r="F907" t="str">
            <v>JIG</v>
          </cell>
        </row>
        <row r="908">
          <cell r="E908" t="str">
            <v/>
          </cell>
          <cell r="F908" t="str">
            <v>JIG</v>
          </cell>
        </row>
        <row r="909">
          <cell r="E909" t="str">
            <v/>
          </cell>
          <cell r="F909" t="str">
            <v>JIG</v>
          </cell>
        </row>
        <row r="910">
          <cell r="E910" t="str">
            <v/>
          </cell>
          <cell r="F910" t="str">
            <v>JIG</v>
          </cell>
        </row>
        <row r="911">
          <cell r="E911" t="str">
            <v/>
          </cell>
          <cell r="F911" t="str">
            <v>JIG</v>
          </cell>
        </row>
        <row r="912">
          <cell r="E912" t="str">
            <v/>
          </cell>
          <cell r="F912" t="str">
            <v>JIG</v>
          </cell>
        </row>
        <row r="913">
          <cell r="E913" t="str">
            <v/>
          </cell>
          <cell r="F913" t="str">
            <v>JIG</v>
          </cell>
        </row>
        <row r="914">
          <cell r="E914" t="str">
            <v/>
          </cell>
          <cell r="F914" t="str">
            <v>JIG</v>
          </cell>
        </row>
        <row r="915">
          <cell r="E915" t="str">
            <v/>
          </cell>
          <cell r="F915" t="str">
            <v>JIG</v>
          </cell>
        </row>
        <row r="916">
          <cell r="E916" t="str">
            <v/>
          </cell>
          <cell r="F916" t="str">
            <v>JIG</v>
          </cell>
        </row>
        <row r="917">
          <cell r="E917" t="str">
            <v/>
          </cell>
          <cell r="F917" t="str">
            <v>JIG</v>
          </cell>
        </row>
        <row r="918">
          <cell r="E918" t="str">
            <v/>
          </cell>
          <cell r="F918" t="str">
            <v>JIG</v>
          </cell>
        </row>
        <row r="919">
          <cell r="E919" t="str">
            <v/>
          </cell>
          <cell r="F919" t="str">
            <v>JIG</v>
          </cell>
        </row>
        <row r="920">
          <cell r="E920" t="str">
            <v/>
          </cell>
          <cell r="F920" t="str">
            <v>JIG</v>
          </cell>
        </row>
        <row r="921">
          <cell r="E921" t="str">
            <v/>
          </cell>
          <cell r="F921" t="str">
            <v>JIG</v>
          </cell>
        </row>
        <row r="922">
          <cell r="E922" t="str">
            <v/>
          </cell>
          <cell r="F922" t="str">
            <v>JIG</v>
          </cell>
        </row>
        <row r="923">
          <cell r="E923" t="str">
            <v/>
          </cell>
          <cell r="F923" t="str">
            <v>JIG</v>
          </cell>
        </row>
        <row r="924">
          <cell r="E924" t="str">
            <v/>
          </cell>
          <cell r="F924" t="str">
            <v>JIG</v>
          </cell>
        </row>
        <row r="925">
          <cell r="E925" t="str">
            <v/>
          </cell>
          <cell r="F925" t="str">
            <v>JIG</v>
          </cell>
        </row>
        <row r="926">
          <cell r="E926" t="str">
            <v/>
          </cell>
          <cell r="F926" t="str">
            <v>JIG</v>
          </cell>
        </row>
        <row r="927">
          <cell r="E927" t="str">
            <v/>
          </cell>
          <cell r="F927" t="str">
            <v>JIG</v>
          </cell>
        </row>
        <row r="928">
          <cell r="E928" t="str">
            <v/>
          </cell>
          <cell r="F928" t="str">
            <v>JIG</v>
          </cell>
        </row>
        <row r="929">
          <cell r="E929" t="str">
            <v/>
          </cell>
          <cell r="F929" t="str">
            <v>JIG</v>
          </cell>
        </row>
        <row r="930">
          <cell r="E930" t="str">
            <v/>
          </cell>
          <cell r="F930" t="str">
            <v>JIG</v>
          </cell>
        </row>
        <row r="931">
          <cell r="E931" t="str">
            <v/>
          </cell>
          <cell r="F931" t="str">
            <v>JIG</v>
          </cell>
        </row>
        <row r="932">
          <cell r="E932" t="str">
            <v/>
          </cell>
          <cell r="F932" t="str">
            <v>JIG</v>
          </cell>
        </row>
        <row r="933">
          <cell r="E933" t="str">
            <v/>
          </cell>
          <cell r="F933" t="str">
            <v>JIG</v>
          </cell>
        </row>
        <row r="934">
          <cell r="E934" t="str">
            <v/>
          </cell>
        </row>
        <row r="935">
          <cell r="E935" t="str">
            <v/>
          </cell>
        </row>
        <row r="936">
          <cell r="E936" t="str">
            <v/>
          </cell>
          <cell r="F936" t="str">
            <v>JIG</v>
          </cell>
        </row>
        <row r="937">
          <cell r="E937" t="str">
            <v/>
          </cell>
        </row>
        <row r="938">
          <cell r="E938" t="str">
            <v/>
          </cell>
          <cell r="F938" t="str">
            <v>JIG</v>
          </cell>
        </row>
        <row r="939">
          <cell r="E939" t="str">
            <v/>
          </cell>
          <cell r="F939" t="str">
            <v>JIG</v>
          </cell>
        </row>
        <row r="940">
          <cell r="E940" t="str">
            <v/>
          </cell>
          <cell r="F940" t="str">
            <v>JIG</v>
          </cell>
        </row>
        <row r="941">
          <cell r="E941" t="str">
            <v/>
          </cell>
          <cell r="F941" t="str">
            <v>JIG</v>
          </cell>
        </row>
        <row r="942">
          <cell r="E942" t="str">
            <v/>
          </cell>
        </row>
        <row r="943">
          <cell r="E943" t="str">
            <v/>
          </cell>
        </row>
        <row r="944">
          <cell r="E944" t="str">
            <v/>
          </cell>
        </row>
        <row r="945">
          <cell r="E945" t="str">
            <v/>
          </cell>
          <cell r="F945" t="str">
            <v>JIG</v>
          </cell>
        </row>
        <row r="946">
          <cell r="E946" t="str">
            <v/>
          </cell>
        </row>
        <row r="947">
          <cell r="E947" t="str">
            <v/>
          </cell>
          <cell r="F947" t="str">
            <v>JIG</v>
          </cell>
        </row>
        <row r="948">
          <cell r="E948" t="str">
            <v/>
          </cell>
          <cell r="F948" t="str">
            <v>JIG</v>
          </cell>
        </row>
        <row r="949">
          <cell r="E949" t="str">
            <v/>
          </cell>
          <cell r="F949" t="str">
            <v>JIG</v>
          </cell>
        </row>
        <row r="950">
          <cell r="E950" t="str">
            <v/>
          </cell>
          <cell r="F950" t="str">
            <v>JIG</v>
          </cell>
        </row>
        <row r="951">
          <cell r="E951" t="str">
            <v/>
          </cell>
        </row>
        <row r="952">
          <cell r="E952" t="str">
            <v/>
          </cell>
          <cell r="F952" t="str">
            <v>JIG</v>
          </cell>
        </row>
        <row r="953">
          <cell r="E953" t="str">
            <v/>
          </cell>
          <cell r="F953" t="str">
            <v>JIG</v>
          </cell>
        </row>
        <row r="954">
          <cell r="E954" t="str">
            <v/>
          </cell>
          <cell r="F954" t="str">
            <v>JIG</v>
          </cell>
        </row>
        <row r="955">
          <cell r="E955" t="str">
            <v/>
          </cell>
          <cell r="F955" t="str">
            <v>JIG</v>
          </cell>
        </row>
        <row r="956">
          <cell r="E956" t="str">
            <v/>
          </cell>
          <cell r="F956" t="str">
            <v>JIG</v>
          </cell>
        </row>
        <row r="957">
          <cell r="E957" t="str">
            <v/>
          </cell>
          <cell r="F957" t="str">
            <v>JIG</v>
          </cell>
        </row>
        <row r="958">
          <cell r="E958" t="str">
            <v/>
          </cell>
        </row>
        <row r="959">
          <cell r="E959" t="str">
            <v/>
          </cell>
          <cell r="F959" t="str">
            <v>JIG</v>
          </cell>
        </row>
        <row r="960">
          <cell r="E960" t="str">
            <v/>
          </cell>
          <cell r="F960" t="str">
            <v>JIG</v>
          </cell>
        </row>
        <row r="961">
          <cell r="E961" t="str">
            <v/>
          </cell>
        </row>
        <row r="962">
          <cell r="E962" t="str">
            <v/>
          </cell>
          <cell r="F962" t="str">
            <v>JIG</v>
          </cell>
        </row>
        <row r="963">
          <cell r="E963" t="str">
            <v/>
          </cell>
          <cell r="F963" t="str">
            <v>JIG</v>
          </cell>
        </row>
        <row r="964">
          <cell r="E964" t="str">
            <v/>
          </cell>
          <cell r="F964" t="str">
            <v>JIG</v>
          </cell>
        </row>
        <row r="965">
          <cell r="E965" t="str">
            <v/>
          </cell>
          <cell r="F965" t="str">
            <v>JIG</v>
          </cell>
        </row>
        <row r="966">
          <cell r="E966" t="str">
            <v/>
          </cell>
          <cell r="F966" t="str">
            <v>JIG</v>
          </cell>
        </row>
        <row r="967">
          <cell r="E967" t="str">
            <v/>
          </cell>
          <cell r="F967" t="str">
            <v>JIG</v>
          </cell>
        </row>
        <row r="968">
          <cell r="E968" t="str">
            <v/>
          </cell>
          <cell r="F968" t="str">
            <v>JIG</v>
          </cell>
        </row>
        <row r="969">
          <cell r="E969" t="str">
            <v/>
          </cell>
          <cell r="F969" t="str">
            <v>JIG</v>
          </cell>
        </row>
        <row r="970">
          <cell r="E970" t="str">
            <v/>
          </cell>
          <cell r="F970" t="str">
            <v>JIG OFFICE SUPPLIES</v>
          </cell>
        </row>
        <row r="971">
          <cell r="E971" t="str">
            <v/>
          </cell>
          <cell r="F971" t="str">
            <v>JIG</v>
          </cell>
        </row>
        <row r="972">
          <cell r="E972" t="str">
            <v/>
          </cell>
        </row>
        <row r="973">
          <cell r="E973" t="str">
            <v/>
          </cell>
        </row>
        <row r="974">
          <cell r="E974" t="str">
            <v/>
          </cell>
        </row>
        <row r="975">
          <cell r="E975" t="str">
            <v/>
          </cell>
        </row>
        <row r="976">
          <cell r="E976" t="str">
            <v/>
          </cell>
          <cell r="F976" t="str">
            <v>JIG</v>
          </cell>
        </row>
        <row r="977">
          <cell r="E977" t="str">
            <v/>
          </cell>
        </row>
        <row r="978">
          <cell r="E978" t="str">
            <v/>
          </cell>
        </row>
        <row r="979">
          <cell r="E979" t="str">
            <v/>
          </cell>
          <cell r="F979" t="str">
            <v>JIG</v>
          </cell>
        </row>
        <row r="980">
          <cell r="E980" t="str">
            <v/>
          </cell>
        </row>
        <row r="981">
          <cell r="E981" t="str">
            <v/>
          </cell>
        </row>
        <row r="982">
          <cell r="E982" t="str">
            <v/>
          </cell>
        </row>
        <row r="983">
          <cell r="E983" t="str">
            <v/>
          </cell>
        </row>
        <row r="984">
          <cell r="E984" t="str">
            <v/>
          </cell>
        </row>
        <row r="985">
          <cell r="E985" t="str">
            <v/>
          </cell>
        </row>
        <row r="986">
          <cell r="E986" t="str">
            <v/>
          </cell>
        </row>
        <row r="987">
          <cell r="E987" t="str">
            <v/>
          </cell>
          <cell r="F987" t="str">
            <v>JIG</v>
          </cell>
        </row>
        <row r="988">
          <cell r="E988" t="str">
            <v/>
          </cell>
          <cell r="F988" t="str">
            <v>JIG</v>
          </cell>
        </row>
        <row r="989">
          <cell r="E989" t="str">
            <v/>
          </cell>
        </row>
        <row r="990">
          <cell r="E990" t="str">
            <v/>
          </cell>
        </row>
        <row r="991">
          <cell r="E991" t="str">
            <v/>
          </cell>
        </row>
        <row r="992">
          <cell r="E992" t="str">
            <v/>
          </cell>
          <cell r="F992" t="str">
            <v>JIG</v>
          </cell>
        </row>
        <row r="993">
          <cell r="E993" t="str">
            <v/>
          </cell>
          <cell r="F993" t="str">
            <v>JIG</v>
          </cell>
        </row>
        <row r="994">
          <cell r="E994" t="str">
            <v/>
          </cell>
          <cell r="F994" t="str">
            <v>JIG</v>
          </cell>
        </row>
        <row r="995">
          <cell r="E995" t="str">
            <v/>
          </cell>
          <cell r="F995" t="str">
            <v>JIG</v>
          </cell>
        </row>
        <row r="996">
          <cell r="E996" t="str">
            <v/>
          </cell>
        </row>
        <row r="997">
          <cell r="E997" t="str">
            <v/>
          </cell>
          <cell r="F997" t="str">
            <v>JIG</v>
          </cell>
        </row>
        <row r="998">
          <cell r="E998" t="str">
            <v/>
          </cell>
          <cell r="F998" t="str">
            <v>JIG</v>
          </cell>
        </row>
        <row r="999">
          <cell r="E999" t="str">
            <v/>
          </cell>
        </row>
        <row r="1000">
          <cell r="E1000" t="str">
            <v/>
          </cell>
        </row>
        <row r="1001">
          <cell r="E1001" t="str">
            <v/>
          </cell>
        </row>
        <row r="1002">
          <cell r="E1002" t="str">
            <v/>
          </cell>
        </row>
        <row r="1003">
          <cell r="E1003" t="str">
            <v/>
          </cell>
        </row>
        <row r="1004">
          <cell r="E1004" t="str">
            <v/>
          </cell>
        </row>
        <row r="1005">
          <cell r="E1005" t="str">
            <v/>
          </cell>
          <cell r="F1005" t="str">
            <v>JIG</v>
          </cell>
        </row>
        <row r="1006">
          <cell r="E1006" t="str">
            <v/>
          </cell>
          <cell r="F1006" t="str">
            <v>JIG</v>
          </cell>
        </row>
        <row r="1007">
          <cell r="E1007" t="str">
            <v/>
          </cell>
          <cell r="F1007" t="e">
            <v>#REF!</v>
          </cell>
        </row>
        <row r="1008">
          <cell r="E1008" t="str">
            <v/>
          </cell>
          <cell r="F1008" t="str">
            <v>JIG</v>
          </cell>
        </row>
        <row r="1009">
          <cell r="E1009" t="str">
            <v/>
          </cell>
        </row>
        <row r="1010">
          <cell r="E1010" t="str">
            <v/>
          </cell>
        </row>
        <row r="1011">
          <cell r="E1011" t="str">
            <v/>
          </cell>
        </row>
        <row r="1012">
          <cell r="E1012" t="str">
            <v/>
          </cell>
          <cell r="F1012" t="str">
            <v>JIG</v>
          </cell>
        </row>
        <row r="1013">
          <cell r="E1013" t="str">
            <v/>
          </cell>
          <cell r="F1013" t="str">
            <v>JIG</v>
          </cell>
        </row>
        <row r="1014">
          <cell r="E1014" t="str">
            <v/>
          </cell>
          <cell r="F1014" t="str">
            <v>JIG</v>
          </cell>
        </row>
        <row r="1015">
          <cell r="E1015" t="str">
            <v/>
          </cell>
          <cell r="F1015" t="str">
            <v>JIG</v>
          </cell>
        </row>
        <row r="1016">
          <cell r="E1016" t="str">
            <v/>
          </cell>
          <cell r="F1016" t="str">
            <v>JIG</v>
          </cell>
        </row>
        <row r="1017">
          <cell r="E1017" t="str">
            <v/>
          </cell>
        </row>
        <row r="1018">
          <cell r="E1018" t="str">
            <v/>
          </cell>
          <cell r="F1018" t="str">
            <v>JIG</v>
          </cell>
        </row>
        <row r="1019">
          <cell r="E1019" t="str">
            <v/>
          </cell>
          <cell r="F1019" t="str">
            <v>JIG</v>
          </cell>
        </row>
        <row r="1020">
          <cell r="E1020" t="str">
            <v/>
          </cell>
        </row>
        <row r="1021">
          <cell r="E1021" t="str">
            <v/>
          </cell>
        </row>
        <row r="1022">
          <cell r="E1022" t="str">
            <v/>
          </cell>
        </row>
        <row r="1023">
          <cell r="E1023" t="str">
            <v/>
          </cell>
          <cell r="F1023" t="str">
            <v>JIG</v>
          </cell>
        </row>
        <row r="1024">
          <cell r="E1024" t="str">
            <v/>
          </cell>
        </row>
        <row r="1025">
          <cell r="E1025" t="str">
            <v/>
          </cell>
        </row>
        <row r="1026">
          <cell r="E1026" t="str">
            <v/>
          </cell>
        </row>
        <row r="1027">
          <cell r="E1027" t="str">
            <v/>
          </cell>
        </row>
        <row r="1028">
          <cell r="E1028" t="str">
            <v/>
          </cell>
        </row>
        <row r="1029">
          <cell r="E1029" t="str">
            <v/>
          </cell>
        </row>
        <row r="1030">
          <cell r="E1030" t="str">
            <v/>
          </cell>
        </row>
        <row r="1031">
          <cell r="E1031" t="str">
            <v/>
          </cell>
        </row>
        <row r="1032">
          <cell r="E1032" t="str">
            <v/>
          </cell>
        </row>
        <row r="1033">
          <cell r="E1033" t="str">
            <v/>
          </cell>
        </row>
        <row r="1034">
          <cell r="E1034" t="str">
            <v/>
          </cell>
        </row>
        <row r="1035">
          <cell r="E1035" t="str">
            <v/>
          </cell>
        </row>
        <row r="1036">
          <cell r="E1036" t="str">
            <v/>
          </cell>
        </row>
        <row r="1037">
          <cell r="E1037" t="str">
            <v/>
          </cell>
        </row>
        <row r="1038">
          <cell r="E1038" t="str">
            <v/>
          </cell>
        </row>
        <row r="1039">
          <cell r="E1039" t="str">
            <v/>
          </cell>
        </row>
        <row r="1040">
          <cell r="E1040" t="str">
            <v/>
          </cell>
        </row>
        <row r="1041">
          <cell r="E1041" t="str">
            <v/>
          </cell>
        </row>
        <row r="1042">
          <cell r="E1042" t="str">
            <v/>
          </cell>
        </row>
        <row r="1043">
          <cell r="E1043" t="str">
            <v/>
          </cell>
        </row>
        <row r="1044">
          <cell r="E1044" t="str">
            <v/>
          </cell>
        </row>
        <row r="1045">
          <cell r="E1045" t="str">
            <v/>
          </cell>
        </row>
        <row r="1046">
          <cell r="E1046" t="str">
            <v/>
          </cell>
        </row>
        <row r="1047">
          <cell r="E1047" t="str">
            <v/>
          </cell>
        </row>
        <row r="1048">
          <cell r="E1048" t="str">
            <v/>
          </cell>
        </row>
        <row r="1049">
          <cell r="E1049" t="str">
            <v/>
          </cell>
        </row>
        <row r="1050">
          <cell r="E1050" t="str">
            <v/>
          </cell>
        </row>
        <row r="1051">
          <cell r="E1051" t="str">
            <v/>
          </cell>
          <cell r="F1051" t="str">
            <v>JIG</v>
          </cell>
        </row>
        <row r="1052">
          <cell r="E1052" t="str">
            <v/>
          </cell>
        </row>
        <row r="1053">
          <cell r="E1053" t="str">
            <v/>
          </cell>
          <cell r="F1053" t="str">
            <v>JIG</v>
          </cell>
        </row>
        <row r="1054">
          <cell r="E1054" t="str">
            <v/>
          </cell>
          <cell r="F1054" t="str">
            <v>JIG</v>
          </cell>
        </row>
        <row r="1055">
          <cell r="E1055" t="str">
            <v/>
          </cell>
          <cell r="F1055" t="str">
            <v>JIG</v>
          </cell>
        </row>
        <row r="1056">
          <cell r="E1056" t="str">
            <v/>
          </cell>
        </row>
        <row r="1057">
          <cell r="E1057" t="str">
            <v/>
          </cell>
        </row>
        <row r="1058">
          <cell r="E1058" t="str">
            <v/>
          </cell>
        </row>
        <row r="1059">
          <cell r="E1059" t="str">
            <v/>
          </cell>
          <cell r="F1059" t="str">
            <v>JIG</v>
          </cell>
        </row>
        <row r="1060">
          <cell r="E1060" t="str">
            <v/>
          </cell>
          <cell r="F1060" t="str">
            <v>JIG</v>
          </cell>
        </row>
        <row r="1061">
          <cell r="E1061" t="str">
            <v/>
          </cell>
          <cell r="F1061" t="str">
            <v>JIG</v>
          </cell>
        </row>
        <row r="1062">
          <cell r="E1062" t="str">
            <v/>
          </cell>
          <cell r="F1062" t="str">
            <v>JIG</v>
          </cell>
        </row>
        <row r="1063">
          <cell r="E1063" t="str">
            <v/>
          </cell>
          <cell r="F1063" t="str">
            <v>JIG</v>
          </cell>
        </row>
        <row r="1064">
          <cell r="E1064" t="str">
            <v/>
          </cell>
          <cell r="F1064" t="str">
            <v>JIG</v>
          </cell>
        </row>
        <row r="1065">
          <cell r="E1065" t="str">
            <v/>
          </cell>
          <cell r="F1065" t="str">
            <v>JIG</v>
          </cell>
        </row>
        <row r="1066">
          <cell r="E1066" t="str">
            <v/>
          </cell>
          <cell r="F1066" t="str">
            <v>JIG</v>
          </cell>
        </row>
        <row r="1067">
          <cell r="E1067" t="str">
            <v/>
          </cell>
          <cell r="F1067" t="str">
            <v>JIG</v>
          </cell>
        </row>
        <row r="1068">
          <cell r="E1068" t="str">
            <v/>
          </cell>
          <cell r="F1068" t="str">
            <v>JIG</v>
          </cell>
        </row>
        <row r="1069">
          <cell r="E1069" t="str">
            <v/>
          </cell>
          <cell r="F1069" t="str">
            <v>JIG</v>
          </cell>
        </row>
        <row r="1070">
          <cell r="E1070" t="str">
            <v/>
          </cell>
          <cell r="F1070" t="str">
            <v>JIG</v>
          </cell>
        </row>
        <row r="1071">
          <cell r="E1071" t="str">
            <v/>
          </cell>
          <cell r="F1071" t="str">
            <v>JIG</v>
          </cell>
        </row>
        <row r="1072">
          <cell r="E1072" t="str">
            <v/>
          </cell>
          <cell r="F1072" t="str">
            <v>JIG</v>
          </cell>
        </row>
        <row r="1073">
          <cell r="E1073" t="str">
            <v/>
          </cell>
          <cell r="F1073" t="str">
            <v>JIG</v>
          </cell>
        </row>
        <row r="1074">
          <cell r="E1074" t="str">
            <v/>
          </cell>
          <cell r="F1074" t="str">
            <v>JIG</v>
          </cell>
        </row>
        <row r="1075">
          <cell r="E1075" t="str">
            <v/>
          </cell>
          <cell r="F1075" t="str">
            <v>JIG</v>
          </cell>
        </row>
        <row r="1076">
          <cell r="E1076" t="str">
            <v/>
          </cell>
          <cell r="F1076" t="str">
            <v>JIG</v>
          </cell>
        </row>
        <row r="1077">
          <cell r="E1077" t="str">
            <v/>
          </cell>
        </row>
        <row r="1078">
          <cell r="E1078" t="str">
            <v/>
          </cell>
        </row>
        <row r="1079">
          <cell r="E1079" t="str">
            <v/>
          </cell>
          <cell r="F1079" t="str">
            <v>JIG</v>
          </cell>
        </row>
        <row r="1080">
          <cell r="E1080" t="str">
            <v/>
          </cell>
          <cell r="F1080" t="str">
            <v>JIG</v>
          </cell>
        </row>
        <row r="1081">
          <cell r="E1081" t="str">
            <v/>
          </cell>
          <cell r="F1081" t="str">
            <v>JIG</v>
          </cell>
        </row>
        <row r="1082">
          <cell r="E1082" t="str">
            <v/>
          </cell>
          <cell r="F1082" t="str">
            <v>JIG</v>
          </cell>
        </row>
        <row r="1083">
          <cell r="E1083" t="str">
            <v/>
          </cell>
          <cell r="F1083" t="str">
            <v>JIG</v>
          </cell>
        </row>
        <row r="1084">
          <cell r="E1084" t="str">
            <v/>
          </cell>
          <cell r="F1084" t="str">
            <v>JIG</v>
          </cell>
        </row>
        <row r="1085">
          <cell r="E1085" t="str">
            <v/>
          </cell>
          <cell r="F1085" t="str">
            <v>JIG</v>
          </cell>
        </row>
        <row r="1086">
          <cell r="E1086" t="str">
            <v/>
          </cell>
          <cell r="F1086" t="str">
            <v>JIG</v>
          </cell>
        </row>
        <row r="1087">
          <cell r="E1087" t="str">
            <v/>
          </cell>
          <cell r="F1087" t="str">
            <v>JIG</v>
          </cell>
        </row>
        <row r="1088">
          <cell r="E1088" t="str">
            <v/>
          </cell>
        </row>
        <row r="1089">
          <cell r="E1089" t="str">
            <v/>
          </cell>
        </row>
        <row r="1090">
          <cell r="E1090" t="str">
            <v/>
          </cell>
        </row>
        <row r="1091">
          <cell r="E1091" t="str">
            <v/>
          </cell>
          <cell r="F1091" t="str">
            <v>JIG</v>
          </cell>
        </row>
        <row r="1092">
          <cell r="E1092" t="str">
            <v/>
          </cell>
          <cell r="F1092" t="str">
            <v>JIG</v>
          </cell>
        </row>
        <row r="1093">
          <cell r="E1093" t="str">
            <v/>
          </cell>
        </row>
        <row r="1094">
          <cell r="E1094" t="str">
            <v/>
          </cell>
          <cell r="F1094" t="str">
            <v>JIG</v>
          </cell>
        </row>
        <row r="1095">
          <cell r="E1095" t="str">
            <v/>
          </cell>
          <cell r="F1095" t="str">
            <v>JIG</v>
          </cell>
        </row>
        <row r="1096">
          <cell r="E1096" t="str">
            <v/>
          </cell>
          <cell r="F1096" t="str">
            <v>JIG</v>
          </cell>
        </row>
        <row r="1097">
          <cell r="E1097" t="str">
            <v/>
          </cell>
          <cell r="F1097" t="str">
            <v>JIG</v>
          </cell>
        </row>
        <row r="1098">
          <cell r="E1098" t="str">
            <v/>
          </cell>
          <cell r="F1098" t="str">
            <v>JIG</v>
          </cell>
        </row>
        <row r="1099">
          <cell r="E1099" t="str">
            <v/>
          </cell>
          <cell r="F1099" t="str">
            <v>JIG</v>
          </cell>
        </row>
        <row r="1100">
          <cell r="E1100" t="str">
            <v/>
          </cell>
        </row>
        <row r="1101">
          <cell r="E1101" t="str">
            <v/>
          </cell>
          <cell r="F1101" t="str">
            <v>JIG</v>
          </cell>
        </row>
        <row r="1102">
          <cell r="E1102" t="str">
            <v/>
          </cell>
          <cell r="F1102" t="str">
            <v>JIG</v>
          </cell>
        </row>
        <row r="1103">
          <cell r="E1103" t="str">
            <v/>
          </cell>
        </row>
        <row r="1104">
          <cell r="E1104" t="str">
            <v/>
          </cell>
        </row>
        <row r="1105">
          <cell r="E1105" t="str">
            <v/>
          </cell>
        </row>
        <row r="1106">
          <cell r="E1106" t="str">
            <v/>
          </cell>
        </row>
        <row r="1107">
          <cell r="E1107" t="str">
            <v/>
          </cell>
          <cell r="F1107" t="str">
            <v>JIG</v>
          </cell>
        </row>
        <row r="1108">
          <cell r="E1108" t="str">
            <v/>
          </cell>
          <cell r="F1108" t="str">
            <v>JIG</v>
          </cell>
        </row>
        <row r="1109">
          <cell r="E1109" t="str">
            <v/>
          </cell>
        </row>
        <row r="1110">
          <cell r="E1110" t="str">
            <v/>
          </cell>
          <cell r="F1110" t="str">
            <v>JIG</v>
          </cell>
        </row>
        <row r="1111">
          <cell r="E1111" t="str">
            <v/>
          </cell>
        </row>
        <row r="1112">
          <cell r="E1112" t="str">
            <v/>
          </cell>
        </row>
        <row r="1113">
          <cell r="E1113" t="str">
            <v/>
          </cell>
          <cell r="F1113" t="str">
            <v>JIG OFFICE SUPPLIES</v>
          </cell>
        </row>
        <row r="1114">
          <cell r="E1114" t="str">
            <v/>
          </cell>
          <cell r="F1114" t="str">
            <v>JIG</v>
          </cell>
        </row>
        <row r="1115">
          <cell r="E1115" t="str">
            <v/>
          </cell>
        </row>
        <row r="1116">
          <cell r="E1116" t="str">
            <v/>
          </cell>
        </row>
        <row r="1117">
          <cell r="E1117" t="str">
            <v/>
          </cell>
        </row>
        <row r="1118">
          <cell r="E1118" t="str">
            <v/>
          </cell>
        </row>
        <row r="1119">
          <cell r="E1119" t="str">
            <v/>
          </cell>
        </row>
        <row r="1120">
          <cell r="E1120" t="str">
            <v/>
          </cell>
          <cell r="F1120" t="str">
            <v>JIG</v>
          </cell>
        </row>
        <row r="1121">
          <cell r="E1121" t="str">
            <v/>
          </cell>
          <cell r="F1121" t="str">
            <v>JIG OFFICE SUPPLIES</v>
          </cell>
        </row>
        <row r="1122">
          <cell r="E1122" t="str">
            <v/>
          </cell>
          <cell r="F1122" t="str">
            <v>JIG</v>
          </cell>
        </row>
        <row r="1123">
          <cell r="E1123" t="str">
            <v/>
          </cell>
          <cell r="F1123" t="str">
            <v>JIG</v>
          </cell>
        </row>
        <row r="1124">
          <cell r="E1124" t="str">
            <v/>
          </cell>
          <cell r="F1124" t="str">
            <v>JIG</v>
          </cell>
        </row>
        <row r="1125">
          <cell r="E1125" t="str">
            <v/>
          </cell>
          <cell r="F1125" t="str">
            <v>JIG</v>
          </cell>
        </row>
        <row r="1126">
          <cell r="E1126" t="str">
            <v/>
          </cell>
          <cell r="F1126" t="str">
            <v>JIG</v>
          </cell>
        </row>
        <row r="1127">
          <cell r="E1127" t="str">
            <v/>
          </cell>
          <cell r="F1127" t="str">
            <v>JIG</v>
          </cell>
        </row>
        <row r="1128">
          <cell r="E1128" t="str">
            <v/>
          </cell>
        </row>
        <row r="1129">
          <cell r="E1129" t="str">
            <v/>
          </cell>
          <cell r="F1129" t="str">
            <v>JIG</v>
          </cell>
        </row>
        <row r="1130">
          <cell r="E1130" t="str">
            <v/>
          </cell>
          <cell r="F1130" t="str">
            <v>JIG</v>
          </cell>
        </row>
        <row r="1131">
          <cell r="E1131" t="str">
            <v/>
          </cell>
          <cell r="F1131" t="str">
            <v>JIG</v>
          </cell>
        </row>
        <row r="1132">
          <cell r="E1132" t="str">
            <v/>
          </cell>
          <cell r="F1132" t="str">
            <v>JIG</v>
          </cell>
        </row>
        <row r="1133">
          <cell r="E1133" t="str">
            <v/>
          </cell>
          <cell r="F1133" t="str">
            <v>JIG</v>
          </cell>
        </row>
        <row r="1134">
          <cell r="E1134" t="str">
            <v/>
          </cell>
          <cell r="F1134" t="str">
            <v>JIG</v>
          </cell>
        </row>
        <row r="1135">
          <cell r="E1135" t="str">
            <v/>
          </cell>
          <cell r="F1135" t="str">
            <v>JIG</v>
          </cell>
        </row>
        <row r="1136">
          <cell r="E1136" t="str">
            <v/>
          </cell>
          <cell r="F1136" t="str">
            <v>JIG</v>
          </cell>
        </row>
        <row r="1137">
          <cell r="E1137" t="str">
            <v/>
          </cell>
          <cell r="F1137" t="str">
            <v>JIG</v>
          </cell>
        </row>
        <row r="1138">
          <cell r="E1138" t="str">
            <v/>
          </cell>
          <cell r="F1138" t="str">
            <v>JIG</v>
          </cell>
        </row>
        <row r="1139">
          <cell r="E1139" t="str">
            <v/>
          </cell>
          <cell r="F1139" t="str">
            <v>JIG</v>
          </cell>
        </row>
        <row r="1140">
          <cell r="E1140" t="str">
            <v/>
          </cell>
          <cell r="F1140" t="str">
            <v>JIG</v>
          </cell>
        </row>
        <row r="1141">
          <cell r="E1141" t="str">
            <v/>
          </cell>
          <cell r="F1141" t="str">
            <v>JIG</v>
          </cell>
        </row>
        <row r="1142">
          <cell r="E1142" t="str">
            <v/>
          </cell>
          <cell r="F1142" t="str">
            <v>JIG</v>
          </cell>
        </row>
        <row r="1143">
          <cell r="E1143" t="str">
            <v/>
          </cell>
          <cell r="F1143" t="str">
            <v>JIG</v>
          </cell>
        </row>
        <row r="1144">
          <cell r="E1144" t="str">
            <v/>
          </cell>
          <cell r="F1144" t="str">
            <v>JIG</v>
          </cell>
        </row>
        <row r="1145">
          <cell r="E1145" t="str">
            <v/>
          </cell>
          <cell r="F1145" t="str">
            <v>JIG</v>
          </cell>
        </row>
        <row r="1146">
          <cell r="E1146" t="str">
            <v/>
          </cell>
          <cell r="F1146" t="str">
            <v>JIG</v>
          </cell>
        </row>
        <row r="1147">
          <cell r="E1147" t="str">
            <v/>
          </cell>
        </row>
        <row r="1148">
          <cell r="E1148" t="str">
            <v/>
          </cell>
          <cell r="F1148" t="str">
            <v>JIG</v>
          </cell>
        </row>
        <row r="1149">
          <cell r="E1149" t="str">
            <v/>
          </cell>
          <cell r="F1149" t="str">
            <v>JIG</v>
          </cell>
        </row>
        <row r="1150">
          <cell r="E1150" t="str">
            <v/>
          </cell>
          <cell r="F1150" t="str">
            <v>JIG</v>
          </cell>
        </row>
        <row r="1151">
          <cell r="E1151" t="str">
            <v/>
          </cell>
          <cell r="F1151" t="str">
            <v>JIG</v>
          </cell>
        </row>
        <row r="1152">
          <cell r="E1152" t="str">
            <v/>
          </cell>
        </row>
        <row r="1153">
          <cell r="E1153" t="str">
            <v/>
          </cell>
          <cell r="F1153" t="str">
            <v>JIG</v>
          </cell>
        </row>
        <row r="1154">
          <cell r="E1154" t="str">
            <v/>
          </cell>
          <cell r="F1154" t="str">
            <v>JIG</v>
          </cell>
        </row>
        <row r="1155">
          <cell r="E1155" t="str">
            <v/>
          </cell>
        </row>
        <row r="1156">
          <cell r="E1156" t="str">
            <v/>
          </cell>
        </row>
        <row r="1157">
          <cell r="E1157" t="str">
            <v/>
          </cell>
        </row>
        <row r="1158">
          <cell r="E1158" t="str">
            <v/>
          </cell>
          <cell r="F1158" t="str">
            <v>JIG</v>
          </cell>
        </row>
        <row r="1159">
          <cell r="E1159" t="str">
            <v/>
          </cell>
          <cell r="F1159" t="str">
            <v>JIG</v>
          </cell>
        </row>
        <row r="1160">
          <cell r="E1160" t="str">
            <v/>
          </cell>
        </row>
        <row r="1161">
          <cell r="E1161" t="str">
            <v/>
          </cell>
        </row>
        <row r="1162">
          <cell r="E1162" t="str">
            <v/>
          </cell>
          <cell r="F1162" t="str">
            <v>JIG</v>
          </cell>
        </row>
        <row r="1163">
          <cell r="E1163" t="str">
            <v/>
          </cell>
          <cell r="F1163" t="str">
            <v>JIG</v>
          </cell>
        </row>
        <row r="1164">
          <cell r="E1164" t="str">
            <v/>
          </cell>
        </row>
        <row r="1165">
          <cell r="E1165" t="str">
            <v/>
          </cell>
          <cell r="F1165" t="str">
            <v>JIG</v>
          </cell>
        </row>
        <row r="1166">
          <cell r="E1166" t="str">
            <v/>
          </cell>
          <cell r="F1166" t="str">
            <v>JIG</v>
          </cell>
        </row>
        <row r="1167">
          <cell r="E1167" t="str">
            <v/>
          </cell>
          <cell r="F1167" t="str">
            <v>JIG</v>
          </cell>
        </row>
        <row r="1168">
          <cell r="E1168" t="str">
            <v/>
          </cell>
          <cell r="F1168" t="str">
            <v>JIG</v>
          </cell>
        </row>
        <row r="1169">
          <cell r="E1169" t="str">
            <v/>
          </cell>
          <cell r="F1169" t="str">
            <v>JIG</v>
          </cell>
        </row>
        <row r="1170">
          <cell r="E1170" t="str">
            <v/>
          </cell>
          <cell r="F1170" t="str">
            <v>JIG</v>
          </cell>
        </row>
        <row r="1171">
          <cell r="E1171" t="str">
            <v/>
          </cell>
          <cell r="F1171" t="str">
            <v>JIG</v>
          </cell>
        </row>
        <row r="1172">
          <cell r="E1172" t="str">
            <v/>
          </cell>
          <cell r="F1172" t="str">
            <v>JIG</v>
          </cell>
        </row>
        <row r="1173">
          <cell r="E1173" t="str">
            <v/>
          </cell>
          <cell r="F1173" t="str">
            <v>JIG</v>
          </cell>
        </row>
        <row r="1174">
          <cell r="E1174" t="str">
            <v/>
          </cell>
          <cell r="F1174" t="str">
            <v>JIG</v>
          </cell>
        </row>
        <row r="1175">
          <cell r="E1175" t="str">
            <v/>
          </cell>
        </row>
        <row r="1176">
          <cell r="E1176" t="str">
            <v/>
          </cell>
          <cell r="F1176" t="str">
            <v>JIG</v>
          </cell>
        </row>
        <row r="1177">
          <cell r="E1177" t="str">
            <v/>
          </cell>
          <cell r="F1177" t="str">
            <v>JIG</v>
          </cell>
        </row>
        <row r="1178">
          <cell r="E1178" t="str">
            <v/>
          </cell>
        </row>
        <row r="1179">
          <cell r="E1179" t="str">
            <v/>
          </cell>
          <cell r="F1179" t="str">
            <v>JIG</v>
          </cell>
        </row>
        <row r="1180">
          <cell r="E1180" t="str">
            <v/>
          </cell>
        </row>
        <row r="1181">
          <cell r="E1181" t="str">
            <v/>
          </cell>
        </row>
        <row r="1182">
          <cell r="E1182" t="str">
            <v/>
          </cell>
          <cell r="F1182" t="str">
            <v>JIG</v>
          </cell>
        </row>
        <row r="1183">
          <cell r="E1183" t="str">
            <v/>
          </cell>
          <cell r="F1183" t="str">
            <v>JIG</v>
          </cell>
        </row>
        <row r="1184">
          <cell r="E1184" t="str">
            <v/>
          </cell>
          <cell r="F1184" t="str">
            <v>JIG</v>
          </cell>
        </row>
        <row r="1185">
          <cell r="E1185" t="str">
            <v/>
          </cell>
          <cell r="F1185" t="str">
            <v>JIG</v>
          </cell>
        </row>
        <row r="1186">
          <cell r="E1186" t="str">
            <v/>
          </cell>
          <cell r="F1186" t="str">
            <v>JIG</v>
          </cell>
        </row>
        <row r="1187">
          <cell r="E1187" t="str">
            <v/>
          </cell>
        </row>
        <row r="1188">
          <cell r="E1188" t="str">
            <v/>
          </cell>
        </row>
        <row r="1189">
          <cell r="E1189" t="str">
            <v/>
          </cell>
          <cell r="F1189" t="str">
            <v>JIG</v>
          </cell>
        </row>
        <row r="1190">
          <cell r="E1190" t="str">
            <v/>
          </cell>
        </row>
        <row r="1191">
          <cell r="E1191" t="str">
            <v/>
          </cell>
          <cell r="F1191" t="str">
            <v>JIG</v>
          </cell>
        </row>
        <row r="1192">
          <cell r="E1192" t="str">
            <v/>
          </cell>
          <cell r="F1192" t="str">
            <v>JIG</v>
          </cell>
        </row>
        <row r="1193">
          <cell r="E1193" t="str">
            <v/>
          </cell>
        </row>
        <row r="1194">
          <cell r="E1194" t="str">
            <v/>
          </cell>
        </row>
        <row r="1195">
          <cell r="E1195" t="str">
            <v/>
          </cell>
        </row>
        <row r="1196">
          <cell r="E1196" t="str">
            <v/>
          </cell>
        </row>
        <row r="1197">
          <cell r="E1197" t="str">
            <v/>
          </cell>
        </row>
        <row r="1198">
          <cell r="E1198" t="str">
            <v/>
          </cell>
        </row>
        <row r="1199">
          <cell r="E1199" t="str">
            <v/>
          </cell>
          <cell r="F1199" t="str">
            <v>JIG</v>
          </cell>
        </row>
        <row r="1200">
          <cell r="E1200" t="str">
            <v/>
          </cell>
        </row>
        <row r="1201">
          <cell r="E1201" t="str">
            <v/>
          </cell>
        </row>
        <row r="1202">
          <cell r="E1202" t="str">
            <v/>
          </cell>
        </row>
        <row r="1203">
          <cell r="E1203" t="str">
            <v/>
          </cell>
          <cell r="F1203" t="str">
            <v>JIG</v>
          </cell>
        </row>
        <row r="1204">
          <cell r="E1204" t="str">
            <v/>
          </cell>
          <cell r="F1204" t="str">
            <v>JIG</v>
          </cell>
        </row>
        <row r="1205">
          <cell r="E1205" t="str">
            <v/>
          </cell>
        </row>
        <row r="1206">
          <cell r="E1206" t="str">
            <v/>
          </cell>
        </row>
        <row r="1207">
          <cell r="E1207" t="str">
            <v/>
          </cell>
        </row>
        <row r="1208">
          <cell r="E1208" t="str">
            <v/>
          </cell>
        </row>
        <row r="1209">
          <cell r="E1209" t="str">
            <v/>
          </cell>
          <cell r="F1209" t="str">
            <v>JIG</v>
          </cell>
        </row>
        <row r="1210">
          <cell r="E1210" t="str">
            <v/>
          </cell>
          <cell r="F1210" t="str">
            <v>JIG</v>
          </cell>
        </row>
        <row r="1211">
          <cell r="E1211" t="str">
            <v/>
          </cell>
          <cell r="F1211" t="str">
            <v>JIG</v>
          </cell>
        </row>
        <row r="1212">
          <cell r="E1212" t="str">
            <v/>
          </cell>
        </row>
        <row r="1213">
          <cell r="E1213" t="str">
            <v/>
          </cell>
        </row>
        <row r="1214">
          <cell r="E1214" t="str">
            <v/>
          </cell>
        </row>
        <row r="1215">
          <cell r="E1215" t="str">
            <v/>
          </cell>
        </row>
        <row r="1216">
          <cell r="E1216" t="str">
            <v/>
          </cell>
        </row>
        <row r="1217">
          <cell r="E1217" t="str">
            <v/>
          </cell>
          <cell r="F1217" t="str">
            <v>JIG</v>
          </cell>
        </row>
        <row r="1218">
          <cell r="E1218" t="str">
            <v/>
          </cell>
          <cell r="F1218" t="str">
            <v>JIG</v>
          </cell>
        </row>
        <row r="1219">
          <cell r="E1219" t="str">
            <v/>
          </cell>
          <cell r="F1219" t="str">
            <v>JIG</v>
          </cell>
        </row>
        <row r="1220">
          <cell r="E1220" t="str">
            <v/>
          </cell>
          <cell r="F1220" t="str">
            <v>JIG</v>
          </cell>
        </row>
        <row r="1221">
          <cell r="E1221" t="str">
            <v/>
          </cell>
          <cell r="F1221" t="str">
            <v>JIG</v>
          </cell>
        </row>
        <row r="1222">
          <cell r="E1222" t="str">
            <v/>
          </cell>
          <cell r="F1222" t="str">
            <v>JIG</v>
          </cell>
        </row>
        <row r="1223">
          <cell r="E1223" t="str">
            <v/>
          </cell>
          <cell r="F1223" t="str">
            <v>JIG</v>
          </cell>
        </row>
        <row r="1224">
          <cell r="E1224" t="str">
            <v/>
          </cell>
        </row>
        <row r="1225">
          <cell r="E1225" t="str">
            <v/>
          </cell>
        </row>
        <row r="1226">
          <cell r="E1226" t="str">
            <v/>
          </cell>
        </row>
        <row r="1227">
          <cell r="E1227" t="str">
            <v/>
          </cell>
        </row>
        <row r="1228">
          <cell r="E1228" t="str">
            <v/>
          </cell>
          <cell r="F1228" t="str">
            <v>JIG</v>
          </cell>
        </row>
        <row r="1229">
          <cell r="E1229" t="str">
            <v/>
          </cell>
          <cell r="F1229" t="str">
            <v>JIG</v>
          </cell>
        </row>
        <row r="1230">
          <cell r="E1230" t="str">
            <v/>
          </cell>
          <cell r="F1230" t="str">
            <v>JIG</v>
          </cell>
        </row>
        <row r="1231">
          <cell r="E1231" t="str">
            <v/>
          </cell>
        </row>
        <row r="1232">
          <cell r="E1232" t="str">
            <v/>
          </cell>
          <cell r="F1232" t="str">
            <v>JIG</v>
          </cell>
        </row>
        <row r="1233">
          <cell r="E1233" t="str">
            <v/>
          </cell>
        </row>
        <row r="1234">
          <cell r="E1234" t="str">
            <v/>
          </cell>
          <cell r="F1234" t="str">
            <v>JIG</v>
          </cell>
        </row>
        <row r="1235">
          <cell r="E1235" t="str">
            <v/>
          </cell>
          <cell r="F1235" t="str">
            <v>JIG</v>
          </cell>
        </row>
        <row r="1236">
          <cell r="E1236" t="str">
            <v/>
          </cell>
          <cell r="F1236" t="str">
            <v>JIG</v>
          </cell>
        </row>
        <row r="1237">
          <cell r="E1237" t="str">
            <v/>
          </cell>
        </row>
        <row r="1238">
          <cell r="E1238" t="str">
            <v/>
          </cell>
          <cell r="F1238" t="str">
            <v>JIG</v>
          </cell>
        </row>
        <row r="1239">
          <cell r="E1239" t="str">
            <v/>
          </cell>
          <cell r="F1239" t="str">
            <v>JIG</v>
          </cell>
        </row>
        <row r="1240">
          <cell r="E1240" t="str">
            <v/>
          </cell>
          <cell r="F1240" t="str">
            <v>JIG</v>
          </cell>
        </row>
        <row r="1241">
          <cell r="E1241" t="str">
            <v/>
          </cell>
          <cell r="F1241" t="str">
            <v>JIG</v>
          </cell>
        </row>
        <row r="1242">
          <cell r="E1242" t="str">
            <v/>
          </cell>
          <cell r="F1242" t="str">
            <v>JIG</v>
          </cell>
        </row>
        <row r="1243">
          <cell r="E1243" t="str">
            <v/>
          </cell>
          <cell r="F1243" t="str">
            <v>JIG</v>
          </cell>
        </row>
        <row r="1244">
          <cell r="E1244" t="str">
            <v/>
          </cell>
          <cell r="F1244" t="str">
            <v>JIG</v>
          </cell>
        </row>
        <row r="1245">
          <cell r="E1245" t="str">
            <v/>
          </cell>
          <cell r="F1245" t="str">
            <v>JIG</v>
          </cell>
        </row>
        <row r="1246">
          <cell r="E1246" t="str">
            <v/>
          </cell>
          <cell r="F1246" t="str">
            <v>JIG</v>
          </cell>
        </row>
        <row r="1247">
          <cell r="E1247" t="str">
            <v/>
          </cell>
        </row>
        <row r="1248">
          <cell r="E1248" t="str">
            <v/>
          </cell>
        </row>
        <row r="1249">
          <cell r="E1249" t="str">
            <v/>
          </cell>
        </row>
        <row r="1250">
          <cell r="E1250" t="str">
            <v/>
          </cell>
          <cell r="F1250" t="str">
            <v>JIG</v>
          </cell>
        </row>
        <row r="1251">
          <cell r="E1251" t="str">
            <v/>
          </cell>
          <cell r="F1251" t="str">
            <v>JIG</v>
          </cell>
        </row>
        <row r="1252">
          <cell r="E1252" t="str">
            <v/>
          </cell>
        </row>
        <row r="1253">
          <cell r="E1253" t="str">
            <v/>
          </cell>
        </row>
        <row r="1254">
          <cell r="E1254" t="str">
            <v/>
          </cell>
          <cell r="F1254" t="str">
            <v>JIG</v>
          </cell>
        </row>
        <row r="1255">
          <cell r="E1255" t="str">
            <v/>
          </cell>
          <cell r="F1255" t="str">
            <v>JIG</v>
          </cell>
        </row>
        <row r="1256">
          <cell r="E1256" t="str">
            <v/>
          </cell>
          <cell r="F1256" t="str">
            <v>JIG</v>
          </cell>
        </row>
        <row r="1257">
          <cell r="E1257" t="str">
            <v/>
          </cell>
          <cell r="F1257" t="str">
            <v>JIG</v>
          </cell>
        </row>
        <row r="1258">
          <cell r="E1258" t="str">
            <v/>
          </cell>
          <cell r="F1258" t="str">
            <v>JIG</v>
          </cell>
        </row>
        <row r="1259">
          <cell r="E1259" t="str">
            <v/>
          </cell>
          <cell r="F1259" t="str">
            <v>JIG</v>
          </cell>
        </row>
        <row r="1260">
          <cell r="E1260" t="str">
            <v/>
          </cell>
          <cell r="F1260" t="str">
            <v>JIG</v>
          </cell>
        </row>
        <row r="1261">
          <cell r="E1261" t="str">
            <v/>
          </cell>
          <cell r="F1261" t="str">
            <v>JIG</v>
          </cell>
        </row>
        <row r="1262">
          <cell r="E1262" t="str">
            <v/>
          </cell>
          <cell r="F1262" t="str">
            <v>JIG</v>
          </cell>
        </row>
        <row r="1263">
          <cell r="E1263" t="str">
            <v/>
          </cell>
          <cell r="F1263" t="str">
            <v>JIG</v>
          </cell>
        </row>
        <row r="1264">
          <cell r="E1264" t="str">
            <v/>
          </cell>
          <cell r="F1264" t="str">
            <v>JIG</v>
          </cell>
        </row>
        <row r="1265">
          <cell r="E1265" t="str">
            <v/>
          </cell>
          <cell r="F1265" t="str">
            <v>JIG</v>
          </cell>
        </row>
        <row r="1266">
          <cell r="E1266" t="str">
            <v/>
          </cell>
          <cell r="F1266" t="str">
            <v>JIG</v>
          </cell>
        </row>
        <row r="1267">
          <cell r="E1267" t="str">
            <v/>
          </cell>
          <cell r="F1267" t="str">
            <v>JIG</v>
          </cell>
        </row>
        <row r="1268">
          <cell r="E1268" t="str">
            <v/>
          </cell>
          <cell r="F1268" t="str">
            <v>JIG</v>
          </cell>
        </row>
        <row r="1269">
          <cell r="E1269" t="str">
            <v/>
          </cell>
          <cell r="F1269" t="str">
            <v>JIG</v>
          </cell>
        </row>
        <row r="1270">
          <cell r="E1270" t="str">
            <v/>
          </cell>
          <cell r="F1270" t="str">
            <v>JIG</v>
          </cell>
        </row>
        <row r="1271">
          <cell r="E1271" t="str">
            <v/>
          </cell>
          <cell r="F1271" t="str">
            <v>JIG</v>
          </cell>
        </row>
        <row r="1272">
          <cell r="E1272" t="str">
            <v/>
          </cell>
          <cell r="F1272" t="str">
            <v>JIG</v>
          </cell>
        </row>
        <row r="1273">
          <cell r="E1273" t="str">
            <v/>
          </cell>
        </row>
        <row r="1274">
          <cell r="E1274" t="str">
            <v/>
          </cell>
        </row>
        <row r="1275">
          <cell r="E1275" t="str">
            <v/>
          </cell>
        </row>
        <row r="1276">
          <cell r="E1276" t="str">
            <v/>
          </cell>
        </row>
        <row r="1277">
          <cell r="E1277" t="str">
            <v/>
          </cell>
          <cell r="F1277" t="str">
            <v>JIG</v>
          </cell>
        </row>
        <row r="1278">
          <cell r="E1278" t="str">
            <v/>
          </cell>
          <cell r="F1278" t="str">
            <v>JIG</v>
          </cell>
        </row>
        <row r="1279">
          <cell r="E1279" t="str">
            <v/>
          </cell>
          <cell r="F1279" t="str">
            <v>JIG</v>
          </cell>
        </row>
        <row r="1280">
          <cell r="E1280" t="str">
            <v/>
          </cell>
        </row>
        <row r="1281">
          <cell r="E1281" t="str">
            <v/>
          </cell>
        </row>
        <row r="1282">
          <cell r="E1282" t="str">
            <v/>
          </cell>
          <cell r="F1282" t="str">
            <v>JIG</v>
          </cell>
        </row>
        <row r="1283">
          <cell r="E1283" t="str">
            <v/>
          </cell>
          <cell r="F1283" t="str">
            <v>JIG</v>
          </cell>
        </row>
        <row r="1284">
          <cell r="E1284" t="str">
            <v/>
          </cell>
          <cell r="F1284" t="str">
            <v>JIG</v>
          </cell>
        </row>
        <row r="1285">
          <cell r="E1285" t="str">
            <v/>
          </cell>
          <cell r="F1285" t="str">
            <v>JIG</v>
          </cell>
        </row>
        <row r="1286">
          <cell r="E1286" t="str">
            <v/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B2">
            <v>2026</v>
          </cell>
        </row>
      </sheetData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J84"/>
  <sheetViews>
    <sheetView showZeros="0" tabSelected="1" topLeftCell="A28" zoomScale="55" zoomScaleNormal="55" workbookViewId="0">
      <selection activeCell="BE35" sqref="BE35"/>
    </sheetView>
  </sheetViews>
  <sheetFormatPr defaultColWidth="8" defaultRowHeight="12.75" x14ac:dyDescent="0.2"/>
  <cols>
    <col min="1" max="1" width="8.42578125" style="3" customWidth="1"/>
    <col min="2" max="2" width="3.85546875" style="3" customWidth="1"/>
    <col min="3" max="3" width="6" style="3" customWidth="1"/>
    <col min="4" max="5" width="3.85546875" style="3" customWidth="1"/>
    <col min="6" max="6" width="15" style="3" customWidth="1"/>
    <col min="7" max="13" width="3.85546875" style="3" customWidth="1"/>
    <col min="14" max="14" width="10.7109375" style="3" customWidth="1"/>
    <col min="15" max="16" width="3.85546875" style="3" customWidth="1"/>
    <col min="17" max="17" width="11.28515625" style="3" customWidth="1"/>
    <col min="18" max="24" width="3.85546875" style="3" customWidth="1"/>
    <col min="25" max="25" width="2.85546875" style="3" customWidth="1"/>
    <col min="26" max="27" width="8.5703125" style="3" customWidth="1"/>
    <col min="28" max="29" width="3.85546875" style="3" customWidth="1"/>
    <col min="30" max="30" width="5" style="3" customWidth="1"/>
    <col min="31" max="31" width="6.85546875" style="3" customWidth="1"/>
    <col min="32" max="32" width="9.7109375" style="3" customWidth="1"/>
    <col min="33" max="33" width="3.85546875" style="3" customWidth="1"/>
    <col min="34" max="34" width="6.7109375" style="3" customWidth="1"/>
    <col min="35" max="35" width="3.7109375" style="3" customWidth="1"/>
    <col min="36" max="36" width="3.85546875" style="3" customWidth="1"/>
    <col min="37" max="37" width="10.140625" style="3" customWidth="1"/>
    <col min="38" max="38" width="6" style="3" customWidth="1"/>
    <col min="39" max="39" width="3.85546875" style="3" customWidth="1"/>
    <col min="40" max="40" width="11.28515625" style="3" customWidth="1"/>
    <col min="41" max="41" width="49.5703125" style="3" hidden="1" customWidth="1"/>
    <col min="42" max="42" width="27.42578125" style="3" hidden="1" customWidth="1"/>
    <col min="43" max="44" width="9.140625" style="3" hidden="1" customWidth="1"/>
    <col min="45" max="45" width="8.5703125" style="3" hidden="1" customWidth="1"/>
    <col min="46" max="46" width="8" style="3" hidden="1" customWidth="1"/>
    <col min="47" max="47" width="9.140625" style="3" hidden="1" customWidth="1"/>
    <col min="48" max="48" width="20.140625" style="3" hidden="1" customWidth="1"/>
    <col min="49" max="49" width="12.28515625" style="3" hidden="1" customWidth="1"/>
    <col min="50" max="50" width="8" style="3" hidden="1" customWidth="1"/>
    <col min="51" max="51" width="17.28515625" style="3" hidden="1" customWidth="1"/>
    <col min="52" max="52" width="13.85546875" style="3" hidden="1" customWidth="1"/>
    <col min="53" max="53" width="4" style="3" customWidth="1"/>
    <col min="54" max="54" width="8" style="3" customWidth="1"/>
    <col min="55" max="55" width="8" style="3"/>
    <col min="56" max="56" width="11" style="3" customWidth="1"/>
    <col min="57" max="57" width="12" style="3" bestFit="1" customWidth="1"/>
    <col min="58" max="58" width="19.42578125" style="3" bestFit="1" customWidth="1"/>
    <col min="59" max="59" width="9.28515625" style="3" customWidth="1"/>
    <col min="60" max="60" width="8.5703125" style="3" bestFit="1" customWidth="1"/>
    <col min="61" max="16384" width="8" style="3"/>
  </cols>
  <sheetData>
    <row r="1" spans="1:62" ht="12.75" customHeight="1" x14ac:dyDescent="0.2">
      <c r="A1" s="1">
        <v>0.4700347222222222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BE1" s="3">
        <v>0</v>
      </c>
    </row>
    <row r="2" spans="1:62" ht="12.75" customHeight="1" x14ac:dyDescent="0.2">
      <c r="A2" s="4" t="s">
        <v>0</v>
      </c>
      <c r="B2" s="146" t="s">
        <v>56</v>
      </c>
      <c r="C2" s="147"/>
      <c r="D2" s="147"/>
      <c r="E2" s="147"/>
      <c r="F2" s="147"/>
      <c r="G2" s="147"/>
      <c r="H2" s="147"/>
      <c r="I2" s="41"/>
      <c r="J2" s="4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62" ht="18" customHeight="1" x14ac:dyDescent="0.2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BF3" s="6"/>
    </row>
    <row r="4" spans="1:62" ht="25.5" x14ac:dyDescent="0.35">
      <c r="A4" s="7" t="s">
        <v>2</v>
      </c>
      <c r="AN4" s="8" t="s">
        <v>3</v>
      </c>
    </row>
    <row r="5" spans="1:62" ht="3" customHeight="1" thickBot="1" x14ac:dyDescent="0.25"/>
    <row r="6" spans="1:62" ht="18" customHeight="1" x14ac:dyDescent="0.25">
      <c r="A6" s="9" t="s">
        <v>4</v>
      </c>
      <c r="B6" s="10"/>
      <c r="C6" s="10"/>
      <c r="D6" s="10"/>
      <c r="E6" s="10"/>
      <c r="F6" s="49" t="s">
        <v>54</v>
      </c>
      <c r="G6" s="49"/>
      <c r="H6" s="49"/>
      <c r="I6" s="49"/>
      <c r="J6" s="49"/>
      <c r="K6" s="49"/>
      <c r="L6" s="49"/>
      <c r="M6" s="4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 t="s">
        <v>5</v>
      </c>
      <c r="AC6" s="10"/>
      <c r="AD6" s="10"/>
      <c r="AE6" s="10"/>
      <c r="AF6" s="10"/>
      <c r="AG6" s="50">
        <f ca="1">O39+14</f>
        <v>46121</v>
      </c>
      <c r="AH6" s="51"/>
      <c r="AI6" s="51"/>
      <c r="AJ6" s="51"/>
      <c r="AK6" s="51"/>
      <c r="AL6" s="51"/>
      <c r="AM6" s="10"/>
      <c r="AN6" s="12"/>
      <c r="BA6"/>
      <c r="BB6"/>
      <c r="BC6"/>
      <c r="BD6"/>
      <c r="BE6"/>
      <c r="BF6"/>
      <c r="BG6"/>
      <c r="BH6"/>
      <c r="BI6"/>
      <c r="BJ6"/>
    </row>
    <row r="7" spans="1:62" ht="22.5" customHeight="1" x14ac:dyDescent="0.25">
      <c r="A7" s="13" t="s">
        <v>6</v>
      </c>
      <c r="D7" s="52"/>
      <c r="E7" s="53"/>
      <c r="F7" s="53"/>
      <c r="G7" s="53"/>
      <c r="H7" s="53"/>
      <c r="I7" s="53"/>
      <c r="J7" s="53"/>
      <c r="K7" s="53"/>
      <c r="L7" s="53"/>
      <c r="M7" s="53"/>
      <c r="N7" s="14"/>
      <c r="O7" s="14"/>
      <c r="AB7" s="15" t="s">
        <v>7</v>
      </c>
      <c r="AG7" s="54" t="s">
        <v>8</v>
      </c>
      <c r="AH7" s="54"/>
      <c r="AI7" s="54"/>
      <c r="AJ7" s="54"/>
      <c r="AK7" s="54"/>
      <c r="AL7" s="54"/>
      <c r="AN7" s="16"/>
      <c r="AP7" s="3" t="s">
        <v>9</v>
      </c>
      <c r="AQ7" s="3" t="s">
        <v>9</v>
      </c>
      <c r="BA7"/>
      <c r="BB7"/>
      <c r="BC7"/>
      <c r="BD7"/>
      <c r="BE7"/>
      <c r="BF7"/>
      <c r="BG7"/>
      <c r="BH7"/>
      <c r="BI7"/>
      <c r="BJ7"/>
    </row>
    <row r="8" spans="1:62" s="19" customFormat="1" ht="24.95" customHeight="1" x14ac:dyDescent="0.25">
      <c r="A8" s="17" t="s">
        <v>10</v>
      </c>
      <c r="B8" s="14"/>
      <c r="C8" s="14"/>
      <c r="D8" s="14" t="s">
        <v>11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 s="14"/>
      <c r="AM8" s="14"/>
      <c r="AN8" s="18"/>
      <c r="AP8" s="19" t="s">
        <v>12</v>
      </c>
      <c r="AQ8" s="19" t="s">
        <v>12</v>
      </c>
      <c r="BA8"/>
      <c r="BB8"/>
      <c r="BC8"/>
      <c r="BD8"/>
      <c r="BE8"/>
      <c r="BF8"/>
      <c r="BG8"/>
      <c r="BH8"/>
      <c r="BI8"/>
      <c r="BJ8"/>
    </row>
    <row r="9" spans="1:62" s="19" customFormat="1" ht="24.95" customHeight="1" x14ac:dyDescent="0.25">
      <c r="A9" s="17"/>
      <c r="B9" s="14"/>
      <c r="C9" s="14"/>
      <c r="D9" s="14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 s="14"/>
      <c r="AM9" s="14"/>
      <c r="AN9" s="18"/>
      <c r="BA9"/>
      <c r="BB9"/>
      <c r="BC9"/>
      <c r="BD9"/>
      <c r="BE9"/>
      <c r="BF9"/>
      <c r="BG9"/>
      <c r="BH9"/>
      <c r="BI9"/>
      <c r="BJ9"/>
    </row>
    <row r="10" spans="1:62" ht="5.0999999999999996" customHeight="1" x14ac:dyDescent="0.25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3"/>
      <c r="BA10"/>
      <c r="BB10"/>
      <c r="BC10"/>
      <c r="BD10"/>
      <c r="BE10"/>
      <c r="BF10"/>
      <c r="BG10"/>
      <c r="BH10"/>
      <c r="BI10"/>
      <c r="BJ10"/>
    </row>
    <row r="11" spans="1:62" s="24" customFormat="1" ht="14.45" customHeight="1" x14ac:dyDescent="0.25">
      <c r="A11" s="55" t="s">
        <v>11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BA11"/>
      <c r="BB11"/>
      <c r="BC11"/>
      <c r="BD11"/>
      <c r="BE11"/>
      <c r="BF11"/>
      <c r="BG11"/>
      <c r="BH11"/>
      <c r="BI11"/>
      <c r="BJ11"/>
    </row>
    <row r="12" spans="1:62" s="24" customFormat="1" ht="12" customHeight="1" x14ac:dyDescent="0.25">
      <c r="A12" s="45" t="s">
        <v>14</v>
      </c>
      <c r="B12" s="45" t="s">
        <v>15</v>
      </c>
      <c r="C12" s="45"/>
      <c r="D12" s="45"/>
      <c r="E12" s="45"/>
      <c r="F12" s="45"/>
      <c r="G12" s="45" t="s">
        <v>16</v>
      </c>
      <c r="H12" s="45"/>
      <c r="I12" s="45"/>
      <c r="J12" s="45"/>
      <c r="K12" s="45"/>
      <c r="L12" s="45"/>
      <c r="M12" s="45"/>
      <c r="N12" s="45"/>
      <c r="O12" s="46" t="s">
        <v>17</v>
      </c>
      <c r="P12" s="46"/>
      <c r="Q12" s="46"/>
      <c r="R12" s="47" t="s">
        <v>18</v>
      </c>
      <c r="S12" s="47"/>
      <c r="T12" s="47"/>
      <c r="U12" s="47"/>
      <c r="V12" s="45" t="s">
        <v>19</v>
      </c>
      <c r="W12" s="45"/>
      <c r="X12" s="45"/>
      <c r="Y12" s="45"/>
      <c r="Z12" s="56" t="s">
        <v>20</v>
      </c>
      <c r="AA12" s="56"/>
      <c r="AB12" s="45" t="s">
        <v>21</v>
      </c>
      <c r="AC12" s="45"/>
      <c r="AD12" s="45"/>
      <c r="AE12" s="45" t="s">
        <v>22</v>
      </c>
      <c r="AF12" s="45"/>
      <c r="AG12" s="45"/>
      <c r="AH12" s="45" t="s">
        <v>23</v>
      </c>
      <c r="AI12" s="45"/>
      <c r="AJ12" s="45"/>
      <c r="AK12" s="45"/>
      <c r="AL12" s="45" t="s">
        <v>24</v>
      </c>
      <c r="AM12" s="45"/>
      <c r="AN12" s="45"/>
      <c r="BA12"/>
      <c r="BB12"/>
      <c r="BC12"/>
      <c r="BD12"/>
      <c r="BE12"/>
      <c r="BF12"/>
      <c r="BG12"/>
      <c r="BH12"/>
      <c r="BI12"/>
      <c r="BJ12"/>
    </row>
    <row r="13" spans="1:62" s="24" customFormat="1" ht="12" customHeight="1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6"/>
      <c r="P13" s="46"/>
      <c r="Q13" s="46"/>
      <c r="R13" s="47"/>
      <c r="S13" s="47"/>
      <c r="T13" s="47"/>
      <c r="U13" s="47"/>
      <c r="V13" s="45"/>
      <c r="W13" s="45"/>
      <c r="X13" s="45"/>
      <c r="Y13" s="45"/>
      <c r="Z13" s="56"/>
      <c r="AA13" s="56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25"/>
      <c r="AP13" s="25"/>
      <c r="BA13"/>
      <c r="BB13"/>
      <c r="BC13"/>
      <c r="BD13"/>
      <c r="BE13"/>
      <c r="BF13"/>
      <c r="BG13"/>
      <c r="BH13"/>
      <c r="BI13"/>
      <c r="BJ13"/>
    </row>
    <row r="14" spans="1:62" s="24" customFormat="1" ht="17.100000000000001" customHeight="1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6"/>
      <c r="P14" s="46"/>
      <c r="Q14" s="46"/>
      <c r="R14" s="47"/>
      <c r="S14" s="47"/>
      <c r="T14" s="47"/>
      <c r="U14" s="47"/>
      <c r="V14" s="45"/>
      <c r="W14" s="45"/>
      <c r="X14" s="45"/>
      <c r="Y14" s="45"/>
      <c r="Z14" s="56"/>
      <c r="AA14" s="56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BA14"/>
      <c r="BB14"/>
      <c r="BC14"/>
      <c r="BD14"/>
      <c r="BE14"/>
      <c r="BF14"/>
      <c r="BG14"/>
      <c r="BH14"/>
      <c r="BI14"/>
      <c r="BJ14"/>
    </row>
    <row r="15" spans="1:62" s="24" customFormat="1" ht="17.100000000000001" customHeight="1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6"/>
      <c r="P15" s="46"/>
      <c r="Q15" s="46"/>
      <c r="R15" s="47"/>
      <c r="S15" s="47"/>
      <c r="T15" s="47"/>
      <c r="U15" s="47"/>
      <c r="V15" s="45"/>
      <c r="W15" s="45"/>
      <c r="X15" s="45"/>
      <c r="Y15" s="45"/>
      <c r="Z15" s="56"/>
      <c r="AA15" s="56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BA15"/>
      <c r="BB15"/>
      <c r="BC15"/>
      <c r="BD15"/>
      <c r="BE15"/>
      <c r="BF15"/>
      <c r="BG15"/>
      <c r="BH15"/>
      <c r="BI15"/>
      <c r="BJ15"/>
    </row>
    <row r="16" spans="1:62" s="24" customFormat="1" ht="17.100000000000001" customHeight="1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6"/>
      <c r="P16" s="46"/>
      <c r="Q16" s="46"/>
      <c r="R16" s="47"/>
      <c r="S16" s="47"/>
      <c r="T16" s="47"/>
      <c r="U16" s="47"/>
      <c r="V16" s="45"/>
      <c r="W16" s="45"/>
      <c r="X16" s="45"/>
      <c r="Y16" s="45"/>
      <c r="Z16" s="56"/>
      <c r="AA16" s="56"/>
      <c r="AB16" s="45"/>
      <c r="AC16" s="45"/>
      <c r="AD16" s="45"/>
      <c r="AE16" s="57"/>
      <c r="AF16" s="57"/>
      <c r="AG16" s="57"/>
      <c r="AH16" s="57"/>
      <c r="AI16" s="57"/>
      <c r="AJ16" s="57"/>
      <c r="AK16" s="57"/>
      <c r="AL16" s="45"/>
      <c r="AM16" s="45"/>
      <c r="AN16" s="45"/>
      <c r="BA16"/>
      <c r="BB16"/>
      <c r="BC16"/>
      <c r="BD16"/>
      <c r="BE16"/>
      <c r="BF16"/>
      <c r="BG16"/>
      <c r="BH16"/>
      <c r="BI16"/>
      <c r="BJ16"/>
    </row>
    <row r="17" spans="1:62" ht="35.1" customHeight="1" x14ac:dyDescent="0.25">
      <c r="A17" s="26"/>
      <c r="B17" s="60"/>
      <c r="C17" s="60"/>
      <c r="D17" s="60"/>
      <c r="E17" s="60"/>
      <c r="F17" s="60"/>
      <c r="G17" s="61" t="s">
        <v>55</v>
      </c>
      <c r="H17" s="61"/>
      <c r="I17" s="61"/>
      <c r="J17" s="61"/>
      <c r="K17" s="61"/>
      <c r="L17" s="61"/>
      <c r="M17" s="61"/>
      <c r="N17" s="61"/>
      <c r="O17" s="62" t="s">
        <v>55</v>
      </c>
      <c r="P17" s="62"/>
      <c r="Q17" s="62"/>
      <c r="R17" s="63" t="s">
        <v>55</v>
      </c>
      <c r="S17" s="56"/>
      <c r="T17" s="56"/>
      <c r="U17" s="56"/>
      <c r="V17" s="60" t="s">
        <v>55</v>
      </c>
      <c r="W17" s="60"/>
      <c r="X17" s="60"/>
      <c r="Y17" s="60"/>
      <c r="Z17" s="64"/>
      <c r="AA17" s="64"/>
      <c r="AB17" s="65" t="s">
        <v>55</v>
      </c>
      <c r="AC17" s="65"/>
      <c r="AD17" s="66"/>
      <c r="AE17" s="42"/>
      <c r="AF17" s="67"/>
      <c r="AG17" s="67"/>
      <c r="AH17" s="42">
        <f>AE17</f>
        <v>0</v>
      </c>
      <c r="AI17" s="67"/>
      <c r="AJ17" s="67"/>
      <c r="AK17" s="68"/>
      <c r="AL17" s="58"/>
      <c r="AM17" s="59"/>
      <c r="AN17" s="59"/>
      <c r="AO17" s="3" t="str">
        <f>$D$7&amp;A17</f>
        <v/>
      </c>
      <c r="AP17" s="3" t="str">
        <f>IF(A17="","",VLOOKUP(AO17,'[1]REQUEST ITEM'!$E$3:$N$1286,10,0))</f>
        <v/>
      </c>
      <c r="AQ17" s="27" t="e">
        <f>TRIM(LEFT(AP17,1)&amp;MID(AP17,FIND(" ",AP17&amp;" ")+1,1)&amp;MID(AP17,FIND("*",SUBSTITUTE(AP17&amp;" "," ","*",2))+1,1))</f>
        <v>#VALUE!</v>
      </c>
      <c r="AR17" s="3" t="e">
        <f>IF(AQ17="","",IF(COUNTIF($AZ$17:AZ32,O46)&gt;1,"Double RM",IF(AQ17=AZ18:AZ21,"OK","Check")))</f>
        <v>#VALUE!</v>
      </c>
      <c r="AU17" s="3" t="str">
        <f>IF(O17="","",IF($AZ$18:$BA$30="0","ü",""))</f>
        <v/>
      </c>
      <c r="AV17" s="28"/>
      <c r="AY17" s="28"/>
      <c r="AZ17" s="3" t="s">
        <v>25</v>
      </c>
      <c r="BA17"/>
      <c r="BB17"/>
      <c r="BC17"/>
      <c r="BD17"/>
      <c r="BE17"/>
      <c r="BF17"/>
      <c r="BG17"/>
      <c r="BH17"/>
      <c r="BI17"/>
      <c r="BJ17"/>
    </row>
    <row r="18" spans="1:62" ht="35.1" customHeight="1" x14ac:dyDescent="0.25">
      <c r="A18" s="26"/>
      <c r="B18" s="60" t="s">
        <v>55</v>
      </c>
      <c r="C18" s="60"/>
      <c r="D18" s="60"/>
      <c r="E18" s="60"/>
      <c r="F18" s="60"/>
      <c r="G18" s="61" t="s">
        <v>55</v>
      </c>
      <c r="H18" s="61"/>
      <c r="I18" s="61"/>
      <c r="J18" s="61"/>
      <c r="K18" s="61"/>
      <c r="L18" s="61"/>
      <c r="M18" s="61"/>
      <c r="N18" s="61"/>
      <c r="O18" s="62" t="s">
        <v>55</v>
      </c>
      <c r="P18" s="62"/>
      <c r="Q18" s="62"/>
      <c r="R18" s="63" t="s">
        <v>55</v>
      </c>
      <c r="S18" s="56"/>
      <c r="T18" s="56"/>
      <c r="U18" s="56"/>
      <c r="V18" s="60" t="s">
        <v>55</v>
      </c>
      <c r="W18" s="60"/>
      <c r="X18" s="60"/>
      <c r="Y18" s="60"/>
      <c r="Z18" s="64" t="s">
        <v>55</v>
      </c>
      <c r="AA18" s="64"/>
      <c r="AB18" s="65" t="s">
        <v>55</v>
      </c>
      <c r="AC18" s="65"/>
      <c r="AD18" s="66"/>
      <c r="AE18" s="42" t="s">
        <v>55</v>
      </c>
      <c r="AF18" s="67"/>
      <c r="AG18" s="67"/>
      <c r="AH18" s="42" t="str">
        <f t="shared" ref="AH18:AH35" si="0">AE18</f>
        <v/>
      </c>
      <c r="AI18" s="67"/>
      <c r="AJ18" s="67"/>
      <c r="AK18" s="68"/>
      <c r="AL18" s="59"/>
      <c r="AM18" s="69"/>
      <c r="AN18" s="69"/>
      <c r="AO18" s="3" t="str">
        <f t="shared" ref="AO18:AO35" si="1">$D$7&amp;A18</f>
        <v/>
      </c>
      <c r="AP18" s="3" t="str">
        <f>IF(A18="","",VLOOKUP(AO18,'[1]REQUEST ITEM'!$E$3:$N$1286,10,0))</f>
        <v/>
      </c>
      <c r="AQ18" s="27" t="e">
        <f t="shared" ref="AQ18:AQ35" si="2">TRIM(LEFT(AP18,1)&amp;MID(AP18,FIND(" ",AP18&amp;" ")+1,1)&amp;MID(AP18,FIND("*",SUBSTITUTE(AP18&amp;" "," ","*",2))+1,1))</f>
        <v>#VALUE!</v>
      </c>
      <c r="AV18" s="29"/>
      <c r="AY18" s="30" t="s">
        <v>26</v>
      </c>
      <c r="AZ18" s="3" t="s">
        <v>27</v>
      </c>
      <c r="BA18"/>
      <c r="BB18"/>
      <c r="BC18"/>
      <c r="BD18"/>
      <c r="BE18"/>
      <c r="BF18"/>
      <c r="BG18"/>
      <c r="BH18"/>
      <c r="BI18"/>
      <c r="BJ18"/>
    </row>
    <row r="19" spans="1:62" ht="35.1" customHeight="1" x14ac:dyDescent="0.25">
      <c r="A19" s="26"/>
      <c r="B19" s="60" t="s">
        <v>55</v>
      </c>
      <c r="C19" s="60"/>
      <c r="D19" s="60"/>
      <c r="E19" s="60"/>
      <c r="F19" s="60"/>
      <c r="G19" s="61" t="s">
        <v>55</v>
      </c>
      <c r="H19" s="61"/>
      <c r="I19" s="61"/>
      <c r="J19" s="61"/>
      <c r="K19" s="61"/>
      <c r="L19" s="61"/>
      <c r="M19" s="61"/>
      <c r="N19" s="61"/>
      <c r="O19" s="62" t="s">
        <v>55</v>
      </c>
      <c r="P19" s="62"/>
      <c r="Q19" s="62"/>
      <c r="R19" s="63" t="s">
        <v>55</v>
      </c>
      <c r="S19" s="56"/>
      <c r="T19" s="56"/>
      <c r="U19" s="56"/>
      <c r="V19" s="60" t="s">
        <v>55</v>
      </c>
      <c r="W19" s="60"/>
      <c r="X19" s="60"/>
      <c r="Y19" s="60"/>
      <c r="Z19" s="64" t="s">
        <v>55</v>
      </c>
      <c r="AA19" s="64"/>
      <c r="AB19" s="65" t="s">
        <v>55</v>
      </c>
      <c r="AC19" s="65"/>
      <c r="AD19" s="66"/>
      <c r="AE19" s="42" t="s">
        <v>55</v>
      </c>
      <c r="AF19" s="67"/>
      <c r="AG19" s="67"/>
      <c r="AH19" s="42" t="str">
        <f t="shared" si="0"/>
        <v/>
      </c>
      <c r="AI19" s="67"/>
      <c r="AJ19" s="67"/>
      <c r="AK19" s="68"/>
      <c r="AL19" s="59" t="s">
        <v>28</v>
      </c>
      <c r="AM19" s="59"/>
      <c r="AN19" s="59"/>
      <c r="AO19" s="3" t="str">
        <f t="shared" si="1"/>
        <v/>
      </c>
      <c r="AP19" s="3" t="str">
        <f>IF(A19="","",VLOOKUP(AO19,'[1]REQUEST ITEM'!$E$3:$N$1286,10,0))</f>
        <v/>
      </c>
      <c r="AQ19" s="27" t="e">
        <f t="shared" si="2"/>
        <v>#VALUE!</v>
      </c>
      <c r="AV19" s="29"/>
      <c r="AY19" s="31" t="s">
        <v>29</v>
      </c>
      <c r="BA19"/>
      <c r="BB19"/>
      <c r="BC19"/>
      <c r="BD19"/>
      <c r="BE19"/>
      <c r="BF19"/>
      <c r="BG19"/>
      <c r="BH19"/>
      <c r="BI19"/>
      <c r="BJ19"/>
    </row>
    <row r="20" spans="1:62" ht="35.1" customHeight="1" x14ac:dyDescent="0.25">
      <c r="A20" s="26"/>
      <c r="B20" s="61" t="s">
        <v>55</v>
      </c>
      <c r="C20" s="61"/>
      <c r="D20" s="61"/>
      <c r="E20" s="61"/>
      <c r="F20" s="61"/>
      <c r="G20" s="61" t="s">
        <v>55</v>
      </c>
      <c r="H20" s="61"/>
      <c r="I20" s="61"/>
      <c r="J20" s="61"/>
      <c r="K20" s="61"/>
      <c r="L20" s="61"/>
      <c r="M20" s="61"/>
      <c r="N20" s="61"/>
      <c r="O20" s="62" t="s">
        <v>55</v>
      </c>
      <c r="P20" s="62"/>
      <c r="Q20" s="62"/>
      <c r="R20" s="63" t="s">
        <v>55</v>
      </c>
      <c r="S20" s="56"/>
      <c r="T20" s="56"/>
      <c r="U20" s="56"/>
      <c r="V20" s="60" t="s">
        <v>55</v>
      </c>
      <c r="W20" s="60"/>
      <c r="X20" s="60"/>
      <c r="Y20" s="60"/>
      <c r="Z20" s="64" t="s">
        <v>55</v>
      </c>
      <c r="AA20" s="64"/>
      <c r="AB20" s="65" t="s">
        <v>55</v>
      </c>
      <c r="AC20" s="65"/>
      <c r="AD20" s="66"/>
      <c r="AE20" s="42" t="s">
        <v>55</v>
      </c>
      <c r="AF20" s="67"/>
      <c r="AG20" s="67"/>
      <c r="AH20" s="42" t="str">
        <f t="shared" si="0"/>
        <v/>
      </c>
      <c r="AI20" s="67"/>
      <c r="AJ20" s="67"/>
      <c r="AK20" s="68"/>
      <c r="AL20" s="70"/>
      <c r="AM20" s="70"/>
      <c r="AN20" s="70"/>
      <c r="AO20" s="3" t="str">
        <f t="shared" si="1"/>
        <v/>
      </c>
      <c r="AP20" s="3" t="str">
        <f>IF(A20="","",VLOOKUP(AO20,'[1]REQUEST ITEM'!$E$3:$N$1286,10,0))</f>
        <v/>
      </c>
      <c r="AQ20" s="27" t="e">
        <f t="shared" si="2"/>
        <v>#VALUE!</v>
      </c>
      <c r="AV20" s="29"/>
      <c r="AY20" s="31" t="s">
        <v>30</v>
      </c>
      <c r="BA20"/>
      <c r="BB20"/>
      <c r="BC20"/>
      <c r="BD20"/>
      <c r="BE20"/>
      <c r="BF20"/>
      <c r="BG20"/>
      <c r="BH20"/>
      <c r="BI20"/>
      <c r="BJ20"/>
    </row>
    <row r="21" spans="1:62" ht="35.1" customHeight="1" x14ac:dyDescent="0.25">
      <c r="A21" s="26"/>
      <c r="B21" s="61" t="s">
        <v>55</v>
      </c>
      <c r="C21" s="61"/>
      <c r="D21" s="61"/>
      <c r="E21" s="61"/>
      <c r="F21" s="61"/>
      <c r="G21" s="61" t="s">
        <v>55</v>
      </c>
      <c r="H21" s="61"/>
      <c r="I21" s="61"/>
      <c r="J21" s="61"/>
      <c r="K21" s="61"/>
      <c r="L21" s="61"/>
      <c r="M21" s="61"/>
      <c r="N21" s="61"/>
      <c r="O21" s="62" t="s">
        <v>55</v>
      </c>
      <c r="P21" s="62"/>
      <c r="Q21" s="62"/>
      <c r="R21" s="63" t="s">
        <v>55</v>
      </c>
      <c r="S21" s="56"/>
      <c r="T21" s="56"/>
      <c r="U21" s="56"/>
      <c r="V21" s="60" t="s">
        <v>55</v>
      </c>
      <c r="W21" s="60"/>
      <c r="X21" s="60"/>
      <c r="Y21" s="60"/>
      <c r="Z21" s="64" t="s">
        <v>55</v>
      </c>
      <c r="AA21" s="64"/>
      <c r="AB21" s="65" t="s">
        <v>55</v>
      </c>
      <c r="AC21" s="65"/>
      <c r="AD21" s="66"/>
      <c r="AE21" s="42" t="s">
        <v>55</v>
      </c>
      <c r="AF21" s="67"/>
      <c r="AG21" s="67"/>
      <c r="AH21" s="42" t="str">
        <f t="shared" si="0"/>
        <v/>
      </c>
      <c r="AI21" s="67"/>
      <c r="AJ21" s="67"/>
      <c r="AK21" s="68"/>
      <c r="AL21" s="70"/>
      <c r="AM21" s="70"/>
      <c r="AN21" s="70"/>
      <c r="AO21" s="3" t="str">
        <f t="shared" si="1"/>
        <v/>
      </c>
      <c r="AP21" s="3" t="str">
        <f>IF(A21="","",VLOOKUP(AO21,'[1]REQUEST ITEM'!$E$3:$N$1286,10,0))</f>
        <v/>
      </c>
      <c r="AQ21" s="27" t="e">
        <f t="shared" si="2"/>
        <v>#VALUE!</v>
      </c>
      <c r="AV21" s="29"/>
      <c r="AY21" s="32" t="s">
        <v>31</v>
      </c>
      <c r="BA21"/>
      <c r="BB21"/>
      <c r="BC21"/>
      <c r="BD21"/>
      <c r="BE21"/>
      <c r="BF21"/>
      <c r="BG21"/>
      <c r="BH21"/>
      <c r="BI21"/>
      <c r="BJ21"/>
    </row>
    <row r="22" spans="1:62" ht="35.1" customHeight="1" x14ac:dyDescent="0.25">
      <c r="A22" s="26"/>
      <c r="B22" s="60" t="s">
        <v>55</v>
      </c>
      <c r="C22" s="60"/>
      <c r="D22" s="60"/>
      <c r="E22" s="60"/>
      <c r="F22" s="60"/>
      <c r="G22" s="61" t="s">
        <v>55</v>
      </c>
      <c r="H22" s="61"/>
      <c r="I22" s="61"/>
      <c r="J22" s="61"/>
      <c r="K22" s="61"/>
      <c r="L22" s="61"/>
      <c r="M22" s="61"/>
      <c r="N22" s="61"/>
      <c r="O22" s="62" t="s">
        <v>55</v>
      </c>
      <c r="P22" s="62"/>
      <c r="Q22" s="62"/>
      <c r="R22" s="63" t="s">
        <v>55</v>
      </c>
      <c r="S22" s="56"/>
      <c r="T22" s="56"/>
      <c r="U22" s="56"/>
      <c r="V22" s="71" t="s">
        <v>55</v>
      </c>
      <c r="W22" s="71"/>
      <c r="X22" s="71"/>
      <c r="Y22" s="71"/>
      <c r="Z22" s="64" t="s">
        <v>55</v>
      </c>
      <c r="AA22" s="64"/>
      <c r="AB22" s="65" t="s">
        <v>55</v>
      </c>
      <c r="AC22" s="65"/>
      <c r="AD22" s="66"/>
      <c r="AE22" s="42" t="s">
        <v>55</v>
      </c>
      <c r="AF22" s="67"/>
      <c r="AG22" s="67"/>
      <c r="AH22" s="42" t="str">
        <f t="shared" si="0"/>
        <v/>
      </c>
      <c r="AI22" s="67"/>
      <c r="AJ22" s="67"/>
      <c r="AK22" s="68"/>
      <c r="AL22" s="70"/>
      <c r="AM22" s="70"/>
      <c r="AN22" s="70"/>
      <c r="AO22" s="3" t="str">
        <f t="shared" si="1"/>
        <v/>
      </c>
      <c r="AP22" s="3" t="str">
        <f>IF(A22="","",VLOOKUP(AO22,'[1]REQUEST ITEM'!$E$3:$N$1286,10,0))</f>
        <v/>
      </c>
      <c r="AQ22" s="27" t="e">
        <f t="shared" si="2"/>
        <v>#VALUE!</v>
      </c>
      <c r="BA22"/>
      <c r="BB22"/>
      <c r="BC22"/>
      <c r="BD22"/>
      <c r="BE22"/>
      <c r="BF22"/>
      <c r="BG22"/>
      <c r="BH22"/>
      <c r="BI22"/>
      <c r="BJ22"/>
    </row>
    <row r="23" spans="1:62" ht="35.1" customHeight="1" x14ac:dyDescent="0.25">
      <c r="A23" s="26"/>
      <c r="B23" s="60" t="s">
        <v>55</v>
      </c>
      <c r="C23" s="60"/>
      <c r="D23" s="60"/>
      <c r="E23" s="60"/>
      <c r="F23" s="60"/>
      <c r="G23" s="61" t="s">
        <v>55</v>
      </c>
      <c r="H23" s="61"/>
      <c r="I23" s="61"/>
      <c r="J23" s="61"/>
      <c r="K23" s="61"/>
      <c r="L23" s="61"/>
      <c r="M23" s="61"/>
      <c r="N23" s="61"/>
      <c r="O23" s="62" t="s">
        <v>55</v>
      </c>
      <c r="P23" s="62"/>
      <c r="Q23" s="62"/>
      <c r="R23" s="63" t="s">
        <v>55</v>
      </c>
      <c r="S23" s="56"/>
      <c r="T23" s="56"/>
      <c r="U23" s="56"/>
      <c r="V23" s="71" t="s">
        <v>55</v>
      </c>
      <c r="W23" s="71"/>
      <c r="X23" s="71"/>
      <c r="Y23" s="71"/>
      <c r="Z23" s="64" t="s">
        <v>55</v>
      </c>
      <c r="AA23" s="64"/>
      <c r="AB23" s="65" t="s">
        <v>55</v>
      </c>
      <c r="AC23" s="65"/>
      <c r="AD23" s="66"/>
      <c r="AE23" s="42" t="s">
        <v>55</v>
      </c>
      <c r="AF23" s="67"/>
      <c r="AG23" s="67"/>
      <c r="AH23" s="42" t="str">
        <f t="shared" si="0"/>
        <v/>
      </c>
      <c r="AI23" s="67"/>
      <c r="AJ23" s="67"/>
      <c r="AK23" s="68"/>
      <c r="AL23" s="70"/>
      <c r="AM23" s="72"/>
      <c r="AN23" s="72"/>
      <c r="AO23" s="3" t="str">
        <f t="shared" si="1"/>
        <v/>
      </c>
      <c r="AP23" s="3" t="str">
        <f>IF(A23="","",VLOOKUP(AO23,'[1]REQUEST ITEM'!$E$3:$N$1286,10,0))</f>
        <v/>
      </c>
      <c r="AQ23" s="27" t="e">
        <f t="shared" si="2"/>
        <v>#VALUE!</v>
      </c>
      <c r="AV23" s="29"/>
      <c r="AY23" s="29" t="s">
        <v>32</v>
      </c>
      <c r="AZ23" s="3" t="s">
        <v>33</v>
      </c>
      <c r="BA23"/>
      <c r="BB23"/>
      <c r="BC23"/>
      <c r="BD23"/>
      <c r="BE23"/>
      <c r="BF23"/>
      <c r="BG23"/>
      <c r="BH23"/>
      <c r="BI23"/>
      <c r="BJ23"/>
    </row>
    <row r="24" spans="1:62" ht="35.1" customHeight="1" x14ac:dyDescent="0.25">
      <c r="A24" s="26"/>
      <c r="B24" s="60" t="s">
        <v>55</v>
      </c>
      <c r="C24" s="60"/>
      <c r="D24" s="60"/>
      <c r="E24" s="60"/>
      <c r="F24" s="60"/>
      <c r="G24" s="61" t="s">
        <v>55</v>
      </c>
      <c r="H24" s="61"/>
      <c r="I24" s="61"/>
      <c r="J24" s="61"/>
      <c r="K24" s="61"/>
      <c r="L24" s="61"/>
      <c r="M24" s="61"/>
      <c r="N24" s="61"/>
      <c r="O24" s="62" t="s">
        <v>55</v>
      </c>
      <c r="P24" s="62"/>
      <c r="Q24" s="62"/>
      <c r="R24" s="63" t="s">
        <v>55</v>
      </c>
      <c r="S24" s="56"/>
      <c r="T24" s="56"/>
      <c r="U24" s="56"/>
      <c r="V24" s="71" t="s">
        <v>55</v>
      </c>
      <c r="W24" s="71"/>
      <c r="X24" s="71"/>
      <c r="Y24" s="71"/>
      <c r="Z24" s="64" t="s">
        <v>55</v>
      </c>
      <c r="AA24" s="64"/>
      <c r="AB24" s="65" t="s">
        <v>55</v>
      </c>
      <c r="AC24" s="65"/>
      <c r="AD24" s="66"/>
      <c r="AE24" s="42" t="s">
        <v>55</v>
      </c>
      <c r="AF24" s="67"/>
      <c r="AG24" s="67"/>
      <c r="AH24" s="42" t="str">
        <f t="shared" si="0"/>
        <v/>
      </c>
      <c r="AI24" s="67"/>
      <c r="AJ24" s="67"/>
      <c r="AK24" s="68"/>
      <c r="AL24" s="70"/>
      <c r="AM24" s="70"/>
      <c r="AN24" s="70"/>
      <c r="AO24" s="3" t="str">
        <f t="shared" si="1"/>
        <v/>
      </c>
      <c r="AP24" s="3" t="str">
        <f>IF(A24="","",VLOOKUP(AO24,'[1]REQUEST ITEM'!$E$3:$N$1286,10,0))</f>
        <v/>
      </c>
      <c r="AQ24" s="27" t="e">
        <f t="shared" si="2"/>
        <v>#VALUE!</v>
      </c>
      <c r="AV24" s="29"/>
      <c r="AY24" s="29" t="s">
        <v>34</v>
      </c>
      <c r="BA24"/>
      <c r="BB24"/>
      <c r="BC24"/>
      <c r="BD24"/>
      <c r="BE24"/>
      <c r="BF24"/>
      <c r="BG24"/>
      <c r="BH24"/>
      <c r="BI24"/>
      <c r="BJ24"/>
    </row>
    <row r="25" spans="1:62" ht="35.1" customHeight="1" x14ac:dyDescent="0.25">
      <c r="A25" s="26"/>
      <c r="B25" s="60" t="s">
        <v>55</v>
      </c>
      <c r="C25" s="60"/>
      <c r="D25" s="60"/>
      <c r="E25" s="60"/>
      <c r="F25" s="60"/>
      <c r="G25" s="61" t="s">
        <v>55</v>
      </c>
      <c r="H25" s="61"/>
      <c r="I25" s="61"/>
      <c r="J25" s="61"/>
      <c r="K25" s="61"/>
      <c r="L25" s="61"/>
      <c r="M25" s="61"/>
      <c r="N25" s="61"/>
      <c r="O25" s="62" t="s">
        <v>55</v>
      </c>
      <c r="P25" s="62"/>
      <c r="Q25" s="62"/>
      <c r="R25" s="63" t="s">
        <v>55</v>
      </c>
      <c r="S25" s="56"/>
      <c r="T25" s="56"/>
      <c r="U25" s="56"/>
      <c r="V25" s="71" t="s">
        <v>55</v>
      </c>
      <c r="W25" s="71"/>
      <c r="X25" s="71"/>
      <c r="Y25" s="71"/>
      <c r="Z25" s="64" t="s">
        <v>55</v>
      </c>
      <c r="AA25" s="64"/>
      <c r="AB25" s="65" t="s">
        <v>55</v>
      </c>
      <c r="AC25" s="65"/>
      <c r="AD25" s="66"/>
      <c r="AE25" s="42" t="s">
        <v>55</v>
      </c>
      <c r="AF25" s="67" t="s">
        <v>55</v>
      </c>
      <c r="AG25" s="67"/>
      <c r="AH25" s="42" t="str">
        <f t="shared" si="0"/>
        <v/>
      </c>
      <c r="AI25" s="67" t="s">
        <v>55</v>
      </c>
      <c r="AJ25" s="67"/>
      <c r="AK25" s="68"/>
      <c r="AL25" s="70"/>
      <c r="AM25" s="70"/>
      <c r="AN25" s="70"/>
      <c r="AO25" s="3" t="str">
        <f t="shared" si="1"/>
        <v/>
      </c>
      <c r="AP25" s="3" t="str">
        <f>IF(A25="","",VLOOKUP(AO25,'[1]REQUEST ITEM'!$E$3:$N$1286,10,0))</f>
        <v/>
      </c>
      <c r="AQ25" s="27" t="e">
        <f t="shared" si="2"/>
        <v>#VALUE!</v>
      </c>
      <c r="AV25" s="29"/>
      <c r="AY25" s="29" t="s">
        <v>35</v>
      </c>
      <c r="BA25"/>
      <c r="BB25"/>
      <c r="BC25"/>
      <c r="BD25"/>
      <c r="BE25"/>
      <c r="BF25"/>
      <c r="BG25"/>
      <c r="BH25"/>
      <c r="BI25"/>
      <c r="BJ25"/>
    </row>
    <row r="26" spans="1:62" ht="35.1" customHeight="1" x14ac:dyDescent="0.25">
      <c r="A26" s="26"/>
      <c r="B26" s="60" t="s">
        <v>55</v>
      </c>
      <c r="C26" s="60"/>
      <c r="D26" s="60"/>
      <c r="E26" s="60"/>
      <c r="F26" s="60"/>
      <c r="G26" s="61" t="s">
        <v>55</v>
      </c>
      <c r="H26" s="61"/>
      <c r="I26" s="61"/>
      <c r="J26" s="61"/>
      <c r="K26" s="61"/>
      <c r="L26" s="61"/>
      <c r="M26" s="61"/>
      <c r="N26" s="61"/>
      <c r="O26" s="62" t="s">
        <v>55</v>
      </c>
      <c r="P26" s="62"/>
      <c r="Q26" s="62"/>
      <c r="R26" s="63" t="s">
        <v>55</v>
      </c>
      <c r="S26" s="56"/>
      <c r="T26" s="56"/>
      <c r="U26" s="56"/>
      <c r="V26" s="71" t="s">
        <v>55</v>
      </c>
      <c r="W26" s="71"/>
      <c r="X26" s="71"/>
      <c r="Y26" s="71"/>
      <c r="Z26" s="64" t="s">
        <v>55</v>
      </c>
      <c r="AA26" s="64"/>
      <c r="AB26" s="65" t="s">
        <v>55</v>
      </c>
      <c r="AC26" s="65"/>
      <c r="AD26" s="66"/>
      <c r="AE26" s="42" t="s">
        <v>55</v>
      </c>
      <c r="AF26" s="67" t="s">
        <v>55</v>
      </c>
      <c r="AG26" s="67"/>
      <c r="AH26" s="42" t="str">
        <f t="shared" si="0"/>
        <v/>
      </c>
      <c r="AI26" s="67" t="s">
        <v>55</v>
      </c>
      <c r="AJ26" s="67"/>
      <c r="AK26" s="68"/>
      <c r="AL26" s="70"/>
      <c r="AM26" s="70"/>
      <c r="AN26" s="70"/>
      <c r="AO26" s="3" t="str">
        <f t="shared" si="1"/>
        <v/>
      </c>
      <c r="AP26" s="3" t="str">
        <f>IF(A26="","",VLOOKUP(AO26,'[1]REQUEST ITEM'!$E$3:$N$1286,10,0))</f>
        <v/>
      </c>
      <c r="AQ26" s="27" t="e">
        <f t="shared" si="2"/>
        <v>#VALUE!</v>
      </c>
      <c r="AV26" s="29"/>
      <c r="AY26" s="29" t="s">
        <v>36</v>
      </c>
      <c r="BA26"/>
      <c r="BB26"/>
      <c r="BC26"/>
      <c r="BD26"/>
      <c r="BE26"/>
      <c r="BF26"/>
      <c r="BG26"/>
      <c r="BH26"/>
      <c r="BI26"/>
      <c r="BJ26"/>
    </row>
    <row r="27" spans="1:62" ht="35.1" customHeight="1" x14ac:dyDescent="0.25">
      <c r="A27" s="26"/>
      <c r="B27" s="60" t="s">
        <v>55</v>
      </c>
      <c r="C27" s="60"/>
      <c r="D27" s="60"/>
      <c r="E27" s="60"/>
      <c r="F27" s="60"/>
      <c r="G27" s="71" t="s">
        <v>55</v>
      </c>
      <c r="H27" s="71"/>
      <c r="I27" s="71"/>
      <c r="J27" s="71"/>
      <c r="K27" s="71"/>
      <c r="L27" s="71"/>
      <c r="M27" s="71"/>
      <c r="N27" s="71"/>
      <c r="O27" s="62" t="s">
        <v>55</v>
      </c>
      <c r="P27" s="62"/>
      <c r="Q27" s="62"/>
      <c r="R27" s="56" t="s">
        <v>55</v>
      </c>
      <c r="S27" s="56"/>
      <c r="T27" s="56"/>
      <c r="U27" s="56"/>
      <c r="V27" s="74" t="s">
        <v>55</v>
      </c>
      <c r="W27" s="74"/>
      <c r="X27" s="74"/>
      <c r="Y27" s="74"/>
      <c r="Z27" s="64" t="s">
        <v>55</v>
      </c>
      <c r="AA27" s="64"/>
      <c r="AB27" s="65" t="s">
        <v>55</v>
      </c>
      <c r="AC27" s="65"/>
      <c r="AD27" s="66"/>
      <c r="AE27" s="42" t="s">
        <v>55</v>
      </c>
      <c r="AF27" s="67" t="s">
        <v>55</v>
      </c>
      <c r="AG27" s="67"/>
      <c r="AH27" s="42" t="str">
        <f t="shared" si="0"/>
        <v/>
      </c>
      <c r="AI27" s="67" t="s">
        <v>55</v>
      </c>
      <c r="AJ27" s="67"/>
      <c r="AK27" s="68"/>
      <c r="AL27" s="70"/>
      <c r="AM27" s="70"/>
      <c r="AN27" s="70"/>
      <c r="AO27" s="3" t="str">
        <f t="shared" si="1"/>
        <v/>
      </c>
      <c r="AP27" s="3" t="str">
        <f>IF(A27="","",VLOOKUP(AO27,'[1]REQUEST ITEM'!$E$3:$N$1286,10,0))</f>
        <v/>
      </c>
      <c r="AQ27" s="27" t="e">
        <f t="shared" si="2"/>
        <v>#VALUE!</v>
      </c>
      <c r="AV27" s="29"/>
      <c r="AY27" s="29" t="s">
        <v>37</v>
      </c>
      <c r="BA27"/>
      <c r="BB27"/>
      <c r="BC27"/>
      <c r="BD27"/>
      <c r="BE27"/>
      <c r="BF27"/>
      <c r="BG27"/>
      <c r="BH27"/>
      <c r="BI27"/>
      <c r="BJ27"/>
    </row>
    <row r="28" spans="1:62" ht="35.1" customHeight="1" x14ac:dyDescent="0.25">
      <c r="A28" s="26"/>
      <c r="B28" s="60" t="s">
        <v>55</v>
      </c>
      <c r="C28" s="60"/>
      <c r="D28" s="60"/>
      <c r="E28" s="60"/>
      <c r="F28" s="60"/>
      <c r="G28" s="71" t="s">
        <v>55</v>
      </c>
      <c r="H28" s="71"/>
      <c r="I28" s="71"/>
      <c r="J28" s="71"/>
      <c r="K28" s="71"/>
      <c r="L28" s="71"/>
      <c r="M28" s="71"/>
      <c r="N28" s="71"/>
      <c r="O28" s="62" t="s">
        <v>55</v>
      </c>
      <c r="P28" s="62"/>
      <c r="Q28" s="62"/>
      <c r="R28" s="56" t="s">
        <v>55</v>
      </c>
      <c r="S28" s="56"/>
      <c r="T28" s="56"/>
      <c r="U28" s="56"/>
      <c r="V28" s="71" t="s">
        <v>55</v>
      </c>
      <c r="W28" s="71"/>
      <c r="X28" s="71"/>
      <c r="Y28" s="71"/>
      <c r="Z28" s="64" t="s">
        <v>55</v>
      </c>
      <c r="AA28" s="64"/>
      <c r="AB28" s="56" t="s">
        <v>55</v>
      </c>
      <c r="AC28" s="56"/>
      <c r="AD28" s="73"/>
      <c r="AE28" s="42" t="s">
        <v>55</v>
      </c>
      <c r="AF28" s="67" t="s">
        <v>55</v>
      </c>
      <c r="AG28" s="67"/>
      <c r="AH28" s="42" t="str">
        <f t="shared" si="0"/>
        <v/>
      </c>
      <c r="AI28" s="67" t="s">
        <v>55</v>
      </c>
      <c r="AJ28" s="67"/>
      <c r="AK28" s="68"/>
      <c r="AL28" s="70" t="s">
        <v>28</v>
      </c>
      <c r="AM28" s="70"/>
      <c r="AN28" s="70"/>
      <c r="AO28" s="3" t="str">
        <f t="shared" si="1"/>
        <v/>
      </c>
      <c r="AP28" s="3" t="str">
        <f>IF(A28="","",VLOOKUP(AO28,'[1]REQUEST ITEM'!$E$3:$N$1286,10,0))</f>
        <v/>
      </c>
      <c r="AQ28" s="27" t="e">
        <f t="shared" si="2"/>
        <v>#VALUE!</v>
      </c>
      <c r="AV28" s="29"/>
      <c r="AY28" s="29" t="s">
        <v>38</v>
      </c>
      <c r="BA28"/>
      <c r="BB28"/>
      <c r="BC28"/>
      <c r="BD28"/>
      <c r="BE28"/>
      <c r="BF28"/>
      <c r="BG28"/>
      <c r="BH28"/>
      <c r="BI28"/>
      <c r="BJ28"/>
    </row>
    <row r="29" spans="1:62" ht="35.1" customHeight="1" x14ac:dyDescent="0.25">
      <c r="A29" s="26"/>
      <c r="B29" s="75" t="s">
        <v>55</v>
      </c>
      <c r="C29" s="75"/>
      <c r="D29" s="75"/>
      <c r="E29" s="75"/>
      <c r="F29" s="75"/>
      <c r="G29" s="71" t="s">
        <v>55</v>
      </c>
      <c r="H29" s="71"/>
      <c r="I29" s="71"/>
      <c r="J29" s="71"/>
      <c r="K29" s="71"/>
      <c r="L29" s="71"/>
      <c r="M29" s="71"/>
      <c r="N29" s="71"/>
      <c r="O29" s="62" t="s">
        <v>55</v>
      </c>
      <c r="P29" s="62"/>
      <c r="Q29" s="62"/>
      <c r="R29" s="56" t="s">
        <v>55</v>
      </c>
      <c r="S29" s="56"/>
      <c r="T29" s="56"/>
      <c r="U29" s="56"/>
      <c r="V29" s="71" t="s">
        <v>55</v>
      </c>
      <c r="W29" s="71"/>
      <c r="X29" s="71"/>
      <c r="Y29" s="71"/>
      <c r="Z29" s="64" t="s">
        <v>55</v>
      </c>
      <c r="AA29" s="64"/>
      <c r="AB29" s="56" t="s">
        <v>55</v>
      </c>
      <c r="AC29" s="56"/>
      <c r="AD29" s="73"/>
      <c r="AE29" s="42" t="s">
        <v>55</v>
      </c>
      <c r="AF29" s="67" t="s">
        <v>55</v>
      </c>
      <c r="AG29" s="67"/>
      <c r="AH29" s="42" t="str">
        <f t="shared" si="0"/>
        <v/>
      </c>
      <c r="AI29" s="67" t="s">
        <v>55</v>
      </c>
      <c r="AJ29" s="67"/>
      <c r="AK29" s="68"/>
      <c r="AL29" s="70"/>
      <c r="AM29" s="70"/>
      <c r="AN29" s="70"/>
      <c r="AO29" s="3" t="str">
        <f t="shared" si="1"/>
        <v/>
      </c>
      <c r="AP29" s="3" t="str">
        <f>IF(A29="","",VLOOKUP(AO29,'[1]REQUEST ITEM'!$E$3:$N$1286,10,0))</f>
        <v/>
      </c>
      <c r="AQ29" s="27" t="e">
        <f t="shared" si="2"/>
        <v>#VALUE!</v>
      </c>
      <c r="AV29" s="29"/>
      <c r="AY29" s="29" t="s">
        <v>39</v>
      </c>
      <c r="BA29"/>
      <c r="BB29"/>
      <c r="BC29"/>
      <c r="BD29"/>
      <c r="BE29"/>
      <c r="BF29"/>
      <c r="BG29"/>
      <c r="BH29"/>
      <c r="BI29"/>
      <c r="BJ29"/>
    </row>
    <row r="30" spans="1:62" ht="35.1" customHeight="1" x14ac:dyDescent="0.25">
      <c r="A30" s="26"/>
      <c r="B30" s="60" t="s">
        <v>55</v>
      </c>
      <c r="C30" s="60"/>
      <c r="D30" s="60"/>
      <c r="E30" s="60"/>
      <c r="F30" s="60"/>
      <c r="G30" s="71" t="s">
        <v>55</v>
      </c>
      <c r="H30" s="71"/>
      <c r="I30" s="71"/>
      <c r="J30" s="71"/>
      <c r="K30" s="71"/>
      <c r="L30" s="71"/>
      <c r="M30" s="71"/>
      <c r="N30" s="71"/>
      <c r="O30" s="62" t="s">
        <v>55</v>
      </c>
      <c r="P30" s="62"/>
      <c r="Q30" s="62"/>
      <c r="R30" s="56" t="s">
        <v>55</v>
      </c>
      <c r="S30" s="56"/>
      <c r="T30" s="56"/>
      <c r="U30" s="56"/>
      <c r="V30" s="71" t="s">
        <v>55</v>
      </c>
      <c r="W30" s="71"/>
      <c r="X30" s="71"/>
      <c r="Y30" s="71"/>
      <c r="Z30" s="64" t="s">
        <v>55</v>
      </c>
      <c r="AA30" s="64"/>
      <c r="AB30" s="56" t="s">
        <v>55</v>
      </c>
      <c r="AC30" s="56"/>
      <c r="AD30" s="73"/>
      <c r="AE30" s="42" t="s">
        <v>55</v>
      </c>
      <c r="AF30" s="67" t="s">
        <v>55</v>
      </c>
      <c r="AG30" s="67"/>
      <c r="AH30" s="42" t="str">
        <f t="shared" si="0"/>
        <v/>
      </c>
      <c r="AI30" s="67" t="s">
        <v>55</v>
      </c>
      <c r="AJ30" s="67"/>
      <c r="AK30" s="68"/>
      <c r="AL30" s="70"/>
      <c r="AM30" s="70"/>
      <c r="AN30" s="70"/>
      <c r="AO30" s="3" t="str">
        <f t="shared" si="1"/>
        <v/>
      </c>
      <c r="AP30" s="3" t="str">
        <f>IF(A30="","",VLOOKUP(AO30,'[1]REQUEST ITEM'!$E$3:$N$1286,10,0))</f>
        <v/>
      </c>
      <c r="AQ30" s="27" t="e">
        <f t="shared" si="2"/>
        <v>#VALUE!</v>
      </c>
      <c r="AV30" s="29"/>
      <c r="AY30" s="29" t="s">
        <v>40</v>
      </c>
      <c r="BA30"/>
      <c r="BB30"/>
      <c r="BC30"/>
      <c r="BD30"/>
      <c r="BE30"/>
      <c r="BF30"/>
      <c r="BG30"/>
      <c r="BH30"/>
      <c r="BI30"/>
      <c r="BJ30"/>
    </row>
    <row r="31" spans="1:62" ht="35.1" customHeight="1" x14ac:dyDescent="0.25">
      <c r="A31" s="26"/>
      <c r="B31" s="78" t="s">
        <v>55</v>
      </c>
      <c r="C31" s="79"/>
      <c r="D31" s="79"/>
      <c r="E31" s="79"/>
      <c r="F31" s="80"/>
      <c r="G31" s="81" t="s">
        <v>55</v>
      </c>
      <c r="H31" s="82"/>
      <c r="I31" s="82"/>
      <c r="J31" s="82"/>
      <c r="K31" s="82"/>
      <c r="L31" s="82"/>
      <c r="M31" s="82"/>
      <c r="N31" s="83"/>
      <c r="O31" s="62" t="s">
        <v>55</v>
      </c>
      <c r="P31" s="62"/>
      <c r="Q31" s="62"/>
      <c r="R31" s="56" t="s">
        <v>55</v>
      </c>
      <c r="S31" s="56"/>
      <c r="T31" s="56"/>
      <c r="U31" s="56"/>
      <c r="V31" s="56" t="s">
        <v>55</v>
      </c>
      <c r="W31" s="56"/>
      <c r="X31" s="56"/>
      <c r="Y31" s="56"/>
      <c r="Z31" s="64" t="s">
        <v>55</v>
      </c>
      <c r="AA31" s="64"/>
      <c r="AB31" s="56" t="s">
        <v>55</v>
      </c>
      <c r="AC31" s="56"/>
      <c r="AD31" s="73"/>
      <c r="AE31" s="42" t="s">
        <v>55</v>
      </c>
      <c r="AF31" s="67" t="s">
        <v>55</v>
      </c>
      <c r="AG31" s="68"/>
      <c r="AH31" s="42" t="str">
        <f t="shared" si="0"/>
        <v/>
      </c>
      <c r="AI31" s="67" t="s">
        <v>55</v>
      </c>
      <c r="AJ31" s="67"/>
      <c r="AK31" s="68"/>
      <c r="AL31" s="70"/>
      <c r="AM31" s="70"/>
      <c r="AN31" s="70"/>
      <c r="AO31" s="3" t="str">
        <f t="shared" si="1"/>
        <v/>
      </c>
      <c r="AP31" s="3" t="str">
        <f>IF(A31="","",VLOOKUP(AO31,'[1]REQUEST ITEM'!$E$3:$N$1286,10,0))</f>
        <v/>
      </c>
      <c r="AQ31" s="27" t="e">
        <f t="shared" si="2"/>
        <v>#VALUE!</v>
      </c>
      <c r="BA31"/>
      <c r="BB31"/>
      <c r="BC31"/>
      <c r="BD31"/>
      <c r="BE31"/>
      <c r="BF31"/>
      <c r="BG31"/>
      <c r="BH31"/>
      <c r="BI31"/>
      <c r="BJ31"/>
    </row>
    <row r="32" spans="1:62" ht="35.1" customHeight="1" x14ac:dyDescent="0.25">
      <c r="A32" s="33"/>
      <c r="B32" s="45" t="s">
        <v>55</v>
      </c>
      <c r="C32" s="45"/>
      <c r="D32" s="45"/>
      <c r="E32" s="45"/>
      <c r="F32" s="45"/>
      <c r="G32" s="76" t="s">
        <v>55</v>
      </c>
      <c r="H32" s="76"/>
      <c r="I32" s="76"/>
      <c r="J32" s="76"/>
      <c r="K32" s="76"/>
      <c r="L32" s="76"/>
      <c r="M32" s="76"/>
      <c r="N32" s="76"/>
      <c r="O32" s="77" t="s">
        <v>55</v>
      </c>
      <c r="P32" s="77"/>
      <c r="Q32" s="77"/>
      <c r="R32" s="56" t="s">
        <v>55</v>
      </c>
      <c r="S32" s="56"/>
      <c r="T32" s="56"/>
      <c r="U32" s="56"/>
      <c r="V32" s="56" t="s">
        <v>55</v>
      </c>
      <c r="W32" s="56"/>
      <c r="X32" s="56"/>
      <c r="Y32" s="56"/>
      <c r="Z32" s="64" t="s">
        <v>55</v>
      </c>
      <c r="AA32" s="64"/>
      <c r="AB32" s="56" t="s">
        <v>55</v>
      </c>
      <c r="AC32" s="56"/>
      <c r="AD32" s="73"/>
      <c r="AE32" s="42" t="s">
        <v>55</v>
      </c>
      <c r="AF32" s="67" t="s">
        <v>55</v>
      </c>
      <c r="AG32" s="68"/>
      <c r="AH32" s="42" t="str">
        <f t="shared" si="0"/>
        <v/>
      </c>
      <c r="AI32" s="67" t="s">
        <v>55</v>
      </c>
      <c r="AJ32" s="67"/>
      <c r="AK32" s="68"/>
      <c r="AL32" s="70"/>
      <c r="AM32" s="70"/>
      <c r="AN32" s="70"/>
      <c r="AO32" s="3" t="str">
        <f t="shared" si="1"/>
        <v/>
      </c>
      <c r="AP32" s="3" t="str">
        <f>IF(A32="","",VLOOKUP(AO32,'[1]REQUEST ITEM'!$E$3:$N$1286,10,0))</f>
        <v/>
      </c>
      <c r="AQ32" s="27" t="e">
        <f t="shared" si="2"/>
        <v>#VALUE!</v>
      </c>
      <c r="BA32"/>
      <c r="BB32"/>
      <c r="BC32"/>
      <c r="BD32"/>
      <c r="BE32"/>
      <c r="BF32"/>
      <c r="BG32"/>
      <c r="BH32"/>
      <c r="BI32"/>
      <c r="BJ32"/>
    </row>
    <row r="33" spans="1:62" ht="35.1" customHeight="1" x14ac:dyDescent="0.25">
      <c r="A33" s="33"/>
      <c r="B33" s="45" t="s">
        <v>55</v>
      </c>
      <c r="C33" s="45"/>
      <c r="D33" s="45"/>
      <c r="E33" s="45"/>
      <c r="F33" s="45"/>
      <c r="G33" s="75" t="s">
        <v>55</v>
      </c>
      <c r="H33" s="75"/>
      <c r="I33" s="75"/>
      <c r="J33" s="75"/>
      <c r="K33" s="75"/>
      <c r="L33" s="75"/>
      <c r="M33" s="75"/>
      <c r="N33" s="75"/>
      <c r="O33" s="77" t="s">
        <v>55</v>
      </c>
      <c r="P33" s="77"/>
      <c r="Q33" s="77"/>
      <c r="R33" s="56" t="s">
        <v>55</v>
      </c>
      <c r="S33" s="56"/>
      <c r="T33" s="56"/>
      <c r="U33" s="56"/>
      <c r="V33" s="56" t="s">
        <v>55</v>
      </c>
      <c r="W33" s="56"/>
      <c r="X33" s="56"/>
      <c r="Y33" s="56"/>
      <c r="Z33" s="64" t="s">
        <v>55</v>
      </c>
      <c r="AA33" s="64"/>
      <c r="AB33" s="56" t="s">
        <v>55</v>
      </c>
      <c r="AC33" s="56"/>
      <c r="AD33" s="73"/>
      <c r="AE33" s="42" t="s">
        <v>55</v>
      </c>
      <c r="AF33" s="67" t="s">
        <v>55</v>
      </c>
      <c r="AG33" s="68"/>
      <c r="AH33" s="42" t="str">
        <f t="shared" si="0"/>
        <v/>
      </c>
      <c r="AI33" s="67" t="s">
        <v>55</v>
      </c>
      <c r="AJ33" s="67"/>
      <c r="AK33" s="68"/>
      <c r="AL33" s="70"/>
      <c r="AM33" s="70"/>
      <c r="AN33" s="70"/>
      <c r="AO33" s="3" t="str">
        <f t="shared" si="1"/>
        <v/>
      </c>
      <c r="AP33" s="3" t="str">
        <f>IF(A33="","",VLOOKUP(AO33,'[1]REQUEST ITEM'!$E$3:$N$1286,10,0))</f>
        <v/>
      </c>
      <c r="AQ33" s="27" t="e">
        <f t="shared" si="2"/>
        <v>#VALUE!</v>
      </c>
      <c r="AY33" s="3" t="s">
        <v>41</v>
      </c>
      <c r="BA33"/>
      <c r="BB33"/>
      <c r="BC33"/>
      <c r="BD33"/>
      <c r="BE33"/>
      <c r="BF33"/>
      <c r="BG33"/>
      <c r="BH33"/>
      <c r="BI33"/>
      <c r="BJ33"/>
    </row>
    <row r="34" spans="1:62" ht="35.1" customHeight="1" x14ac:dyDescent="0.25">
      <c r="A34" s="33"/>
      <c r="B34" s="45"/>
      <c r="C34" s="45"/>
      <c r="D34" s="45"/>
      <c r="E34" s="45"/>
      <c r="F34" s="45"/>
      <c r="G34" s="76" t="s">
        <v>55</v>
      </c>
      <c r="H34" s="76"/>
      <c r="I34" s="76"/>
      <c r="J34" s="76"/>
      <c r="K34" s="76"/>
      <c r="L34" s="76"/>
      <c r="M34" s="76"/>
      <c r="N34" s="76"/>
      <c r="O34" s="77" t="s">
        <v>55</v>
      </c>
      <c r="P34" s="77"/>
      <c r="Q34" s="77"/>
      <c r="R34" s="56" t="s">
        <v>55</v>
      </c>
      <c r="S34" s="56"/>
      <c r="T34" s="56"/>
      <c r="U34" s="56"/>
      <c r="V34" s="56"/>
      <c r="W34" s="56"/>
      <c r="X34" s="56"/>
      <c r="Y34" s="56"/>
      <c r="Z34" s="64" t="s">
        <v>55</v>
      </c>
      <c r="AA34" s="64"/>
      <c r="AB34" s="56" t="s">
        <v>55</v>
      </c>
      <c r="AC34" s="56"/>
      <c r="AD34" s="73"/>
      <c r="AE34" s="42" t="s">
        <v>55</v>
      </c>
      <c r="AF34" s="67" t="s">
        <v>55</v>
      </c>
      <c r="AG34" s="68"/>
      <c r="AH34" s="42" t="str">
        <f t="shared" si="0"/>
        <v/>
      </c>
      <c r="AI34" s="67" t="s">
        <v>55</v>
      </c>
      <c r="AJ34" s="67"/>
      <c r="AK34" s="68"/>
      <c r="AL34" s="70" t="s">
        <v>42</v>
      </c>
      <c r="AM34" s="70"/>
      <c r="AN34" s="70"/>
      <c r="AO34" s="3" t="str">
        <f t="shared" si="1"/>
        <v/>
      </c>
      <c r="AQ34" s="27"/>
      <c r="BA34"/>
      <c r="BB34"/>
      <c r="BC34"/>
      <c r="BD34"/>
      <c r="BE34"/>
      <c r="BF34"/>
      <c r="BG34"/>
      <c r="BH34"/>
      <c r="BI34"/>
      <c r="BJ34"/>
    </row>
    <row r="35" spans="1:62" ht="35.1" customHeight="1" x14ac:dyDescent="0.25">
      <c r="A35" s="33"/>
      <c r="B35" s="57"/>
      <c r="C35" s="57"/>
      <c r="D35" s="57"/>
      <c r="E35" s="57"/>
      <c r="F35" s="57"/>
      <c r="G35" s="93" t="s">
        <v>55</v>
      </c>
      <c r="H35" s="93"/>
      <c r="I35" s="93"/>
      <c r="J35" s="93"/>
      <c r="K35" s="93"/>
      <c r="L35" s="93"/>
      <c r="M35" s="93"/>
      <c r="N35" s="93"/>
      <c r="O35" s="77" t="s">
        <v>55</v>
      </c>
      <c r="P35" s="77"/>
      <c r="Q35" s="77"/>
      <c r="R35" s="84" t="s">
        <v>55</v>
      </c>
      <c r="S35" s="84"/>
      <c r="T35" s="84"/>
      <c r="U35" s="84"/>
      <c r="V35" s="84" t="s">
        <v>55</v>
      </c>
      <c r="W35" s="84"/>
      <c r="X35" s="84"/>
      <c r="Y35" s="84"/>
      <c r="Z35" s="94" t="s">
        <v>55</v>
      </c>
      <c r="AA35" s="94"/>
      <c r="AB35" s="84" t="s">
        <v>55</v>
      </c>
      <c r="AC35" s="84"/>
      <c r="AD35" s="85"/>
      <c r="AE35" s="44" t="s">
        <v>55</v>
      </c>
      <c r="AF35" s="86"/>
      <c r="AG35" s="87"/>
      <c r="AH35" s="42" t="str">
        <f t="shared" si="0"/>
        <v/>
      </c>
      <c r="AI35" s="86" t="s">
        <v>55</v>
      </c>
      <c r="AJ35" s="86"/>
      <c r="AK35" s="87"/>
      <c r="AL35" s="88"/>
      <c r="AM35" s="88"/>
      <c r="AN35" s="88"/>
      <c r="AO35" s="3" t="str">
        <f t="shared" si="1"/>
        <v/>
      </c>
      <c r="AP35" s="3" t="str">
        <f>IF(A35="","",VLOOKUP(AO35,'[1]REQUEST ITEM'!$E$3:$N$1286,10,0))</f>
        <v/>
      </c>
      <c r="AQ35" s="27" t="e">
        <f t="shared" si="2"/>
        <v>#VALUE!</v>
      </c>
      <c r="BA35"/>
      <c r="BB35"/>
      <c r="BC35"/>
      <c r="BD35"/>
      <c r="BE35"/>
      <c r="BF35"/>
      <c r="BG35"/>
      <c r="BH35"/>
      <c r="BI35"/>
      <c r="BJ35"/>
    </row>
    <row r="36" spans="1:62" s="20" customFormat="1" ht="15.95" customHeight="1" x14ac:dyDescent="0.25">
      <c r="A36" s="89" t="s">
        <v>43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1"/>
      <c r="O36" s="92" t="s">
        <v>44</v>
      </c>
      <c r="P36" s="92"/>
      <c r="Q36" s="92"/>
      <c r="R36" s="65" t="s">
        <v>45</v>
      </c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 t="s">
        <v>46</v>
      </c>
      <c r="AE36" s="65"/>
      <c r="AF36" s="65"/>
      <c r="AG36" s="65"/>
      <c r="AH36" s="65" t="s">
        <v>47</v>
      </c>
      <c r="AI36" s="65"/>
      <c r="AJ36" s="65"/>
      <c r="AK36" s="65"/>
      <c r="AL36" s="92" t="s">
        <v>48</v>
      </c>
      <c r="AM36" s="92"/>
      <c r="AN36" s="92"/>
      <c r="BA36"/>
      <c r="BB36"/>
      <c r="BC36"/>
      <c r="BD36"/>
      <c r="BE36"/>
      <c r="BF36"/>
      <c r="BG36"/>
      <c r="BH36"/>
      <c r="BI36"/>
      <c r="BJ36"/>
    </row>
    <row r="37" spans="1:62" s="24" customFormat="1" ht="12.75" customHeight="1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112"/>
      <c r="O37" s="113" t="s">
        <v>13</v>
      </c>
      <c r="P37" s="114"/>
      <c r="Q37" s="115"/>
      <c r="R37" s="119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120"/>
      <c r="AE37" s="120"/>
      <c r="AF37" s="120"/>
      <c r="AG37" s="120"/>
      <c r="AH37" s="120"/>
      <c r="AI37" s="120"/>
      <c r="AJ37" s="120"/>
      <c r="AK37" s="121"/>
      <c r="AL37" s="122">
        <f>AE17</f>
        <v>0</v>
      </c>
      <c r="AM37" s="95">
        <f>SUM(AI17:AK35)</f>
        <v>0</v>
      </c>
      <c r="AN37" s="96"/>
      <c r="BA37"/>
      <c r="BB37"/>
      <c r="BC37"/>
      <c r="BD37"/>
      <c r="BE37"/>
      <c r="BF37"/>
      <c r="BG37"/>
      <c r="BH37"/>
      <c r="BI37"/>
      <c r="BJ37"/>
    </row>
    <row r="38" spans="1:62" ht="12" customHeight="1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12"/>
      <c r="O38" s="116"/>
      <c r="P38" s="117"/>
      <c r="Q38" s="118"/>
      <c r="R38" s="119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120"/>
      <c r="AE38" s="120"/>
      <c r="AF38" s="120"/>
      <c r="AG38" s="120"/>
      <c r="AH38" s="120"/>
      <c r="AI38" s="120"/>
      <c r="AJ38" s="120"/>
      <c r="AK38" s="121"/>
      <c r="AL38" s="123"/>
      <c r="AM38" s="97"/>
      <c r="AN38" s="98"/>
      <c r="BA38"/>
      <c r="BB38"/>
      <c r="BC38"/>
      <c r="BD38"/>
      <c r="BE38"/>
      <c r="BF38"/>
      <c r="BG38"/>
      <c r="BH38"/>
      <c r="BI38"/>
      <c r="BJ38"/>
    </row>
    <row r="39" spans="1:62" ht="12" customHeight="1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12"/>
      <c r="O39" s="99">
        <f ca="1">TODAY()</f>
        <v>46107</v>
      </c>
      <c r="P39" s="100"/>
      <c r="Q39" s="101"/>
      <c r="R39" s="119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120"/>
      <c r="AE39" s="120"/>
      <c r="AF39" s="120"/>
      <c r="AG39" s="120"/>
      <c r="AH39" s="120"/>
      <c r="AI39" s="120"/>
      <c r="AJ39" s="120"/>
      <c r="AK39" s="121"/>
      <c r="AL39" s="105"/>
      <c r="AM39" s="106"/>
      <c r="AN39" s="107"/>
      <c r="BA39"/>
      <c r="BB39"/>
      <c r="BC39"/>
      <c r="BD39"/>
      <c r="BE39"/>
      <c r="BF39"/>
      <c r="BG39"/>
      <c r="BH39"/>
      <c r="BI39"/>
      <c r="BJ39"/>
    </row>
    <row r="40" spans="1:62" ht="12" customHeight="1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12"/>
      <c r="O40" s="102"/>
      <c r="P40" s="103"/>
      <c r="Q40" s="104"/>
      <c r="R40" s="119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120"/>
      <c r="AE40" s="120"/>
      <c r="AF40" s="120"/>
      <c r="AG40" s="120"/>
      <c r="AH40" s="120"/>
      <c r="AI40" s="120"/>
      <c r="AJ40" s="120"/>
      <c r="AK40" s="121"/>
      <c r="AL40" s="108"/>
      <c r="AM40" s="109"/>
      <c r="AN40" s="110"/>
      <c r="BA40"/>
      <c r="BB40"/>
      <c r="BC40"/>
      <c r="BD40"/>
      <c r="BE40"/>
      <c r="BF40"/>
      <c r="BG40"/>
      <c r="BH40"/>
      <c r="BI40"/>
      <c r="BJ40"/>
    </row>
    <row r="41" spans="1:62" ht="14.1" customHeight="1" x14ac:dyDescent="0.25">
      <c r="A41" s="3" t="s">
        <v>49</v>
      </c>
      <c r="AN41" s="34" t="s">
        <v>50</v>
      </c>
      <c r="AQ41" s="3" t="e">
        <v>#VALUE!</v>
      </c>
      <c r="BA41"/>
      <c r="BB41"/>
      <c r="BC41"/>
      <c r="BD41"/>
      <c r="BE41"/>
      <c r="BF41"/>
      <c r="BG41"/>
      <c r="BH41"/>
      <c r="BI41"/>
      <c r="BJ41"/>
    </row>
    <row r="42" spans="1:62" ht="8.1" customHeight="1" x14ac:dyDescent="0.25">
      <c r="AN42" s="34"/>
      <c r="BA42"/>
      <c r="BB42"/>
      <c r="BC42"/>
      <c r="BD42"/>
      <c r="BE42"/>
      <c r="BF42"/>
      <c r="BG42"/>
      <c r="BH42"/>
      <c r="BI42"/>
      <c r="BJ42"/>
    </row>
    <row r="43" spans="1:62" ht="8.1" customHeight="1" x14ac:dyDescent="0.2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BA43"/>
      <c r="BB43"/>
      <c r="BC43"/>
      <c r="BD43"/>
      <c r="BE43"/>
      <c r="BF43"/>
      <c r="BG43"/>
      <c r="BH43"/>
      <c r="BI43"/>
      <c r="BJ43"/>
    </row>
    <row r="44" spans="1:62" ht="12.75" customHeight="1" x14ac:dyDescent="0.25">
      <c r="A44" s="36"/>
      <c r="B44" s="148" t="s">
        <v>56</v>
      </c>
      <c r="C44" s="148"/>
      <c r="D44" s="148"/>
      <c r="E44" s="148"/>
      <c r="F44" s="148"/>
      <c r="G44" s="148"/>
      <c r="H44" s="148"/>
      <c r="I44" s="148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BA44"/>
      <c r="BB44"/>
      <c r="BC44"/>
      <c r="BD44"/>
      <c r="BE44"/>
    </row>
    <row r="45" spans="1:62" ht="12.75" customHeight="1" x14ac:dyDescent="0.25">
      <c r="A45" s="4"/>
      <c r="B45" s="148"/>
      <c r="C45" s="148"/>
      <c r="D45" s="148"/>
      <c r="E45" s="148"/>
      <c r="F45" s="148"/>
      <c r="G45" s="148"/>
      <c r="H45" s="148"/>
      <c r="I45" s="148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BA45"/>
      <c r="BB45"/>
      <c r="BC45"/>
      <c r="BD45"/>
      <c r="BE45"/>
    </row>
    <row r="46" spans="1:62" ht="18" customHeight="1" x14ac:dyDescent="0.25">
      <c r="A46" s="111" t="s">
        <v>1</v>
      </c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BA46"/>
      <c r="BB46"/>
      <c r="BC46"/>
      <c r="BD46"/>
      <c r="BE46"/>
    </row>
    <row r="47" spans="1:62" ht="25.5" x14ac:dyDescent="0.35">
      <c r="A47" s="7" t="str">
        <f>A4</f>
        <v>Rev. No.:  07</v>
      </c>
      <c r="AN47" s="8" t="str">
        <f>AN4</f>
        <v xml:space="preserve"> Page No.:  1  /  1</v>
      </c>
      <c r="BA47"/>
      <c r="BB47"/>
      <c r="BC47"/>
      <c r="BD47"/>
      <c r="BE47"/>
    </row>
    <row r="48" spans="1:62" ht="3" customHeight="1" thickBot="1" x14ac:dyDescent="0.3"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BA48"/>
      <c r="BB48"/>
      <c r="BC48"/>
      <c r="BD48"/>
      <c r="BE48"/>
    </row>
    <row r="49" spans="1:192" ht="18" customHeight="1" x14ac:dyDescent="0.25">
      <c r="A49" s="9" t="s">
        <v>51</v>
      </c>
      <c r="B49" s="10"/>
      <c r="C49" s="10"/>
      <c r="D49" s="10"/>
      <c r="E49" s="10"/>
      <c r="F49" s="49" t="str">
        <f>F6</f>
        <v>Attention</v>
      </c>
      <c r="G49" s="49"/>
      <c r="H49" s="49"/>
      <c r="I49" s="49"/>
      <c r="J49" s="49"/>
      <c r="K49" s="49"/>
      <c r="L49" s="49"/>
      <c r="M49" s="4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38"/>
      <c r="AB49" s="11" t="s">
        <v>5</v>
      </c>
      <c r="AC49" s="38"/>
      <c r="AD49" s="38"/>
      <c r="AE49" s="38"/>
      <c r="AF49" s="38"/>
      <c r="AG49" s="50">
        <f ca="1">AG6</f>
        <v>46121</v>
      </c>
      <c r="AH49" s="51"/>
      <c r="AI49" s="51"/>
      <c r="AJ49" s="51"/>
      <c r="AK49" s="51"/>
      <c r="AL49" s="51"/>
      <c r="AM49" s="10"/>
      <c r="AN49" s="12"/>
      <c r="BA49"/>
      <c r="BB49"/>
      <c r="BC49"/>
      <c r="BD49"/>
      <c r="BE49"/>
    </row>
    <row r="50" spans="1:192" ht="22.5" customHeight="1" x14ac:dyDescent="0.25">
      <c r="A50" s="13" t="s">
        <v>6</v>
      </c>
      <c r="D50" s="59">
        <f>D7</f>
        <v>0</v>
      </c>
      <c r="E50" s="59"/>
      <c r="F50" s="59"/>
      <c r="G50" s="59"/>
      <c r="H50" s="59"/>
      <c r="I50" s="59"/>
      <c r="J50" s="59"/>
      <c r="K50" s="59"/>
      <c r="L50" s="59"/>
      <c r="M50" s="59"/>
      <c r="AA50" s="37"/>
      <c r="AB50" s="15" t="s">
        <v>7</v>
      </c>
      <c r="AC50" s="37"/>
      <c r="AD50" s="37"/>
      <c r="AE50" s="37"/>
      <c r="AF50" s="37"/>
      <c r="AG50" s="54" t="str">
        <f>AG7</f>
        <v>POD-JIG</v>
      </c>
      <c r="AH50" s="54"/>
      <c r="AI50" s="54"/>
      <c r="AJ50" s="54"/>
      <c r="AK50" s="54"/>
      <c r="AL50" s="54"/>
      <c r="AN50" s="16"/>
      <c r="BA50"/>
      <c r="BB50"/>
      <c r="BC50"/>
      <c r="BD50"/>
      <c r="BE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</row>
    <row r="51" spans="1:192" ht="24.95" customHeight="1" x14ac:dyDescent="0.25">
      <c r="A51" s="17" t="s">
        <v>10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8"/>
      <c r="BA51"/>
      <c r="BB51"/>
      <c r="BC51"/>
      <c r="BD51"/>
      <c r="BE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</row>
    <row r="52" spans="1:192" s="24" customFormat="1" ht="24.95" customHeight="1" x14ac:dyDescent="0.25">
      <c r="A52" s="17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8"/>
      <c r="BA52"/>
      <c r="BB52"/>
      <c r="BC52"/>
      <c r="BD52"/>
      <c r="BE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</row>
    <row r="53" spans="1:192" ht="5.0999999999999996" customHeight="1" x14ac:dyDescent="0.25">
      <c r="A53" s="21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3"/>
      <c r="BA53"/>
      <c r="BB53"/>
      <c r="BC53"/>
      <c r="BD53"/>
      <c r="BE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</row>
    <row r="54" spans="1:192" ht="14.45" customHeight="1" x14ac:dyDescent="0.25">
      <c r="A54" s="55" t="s">
        <v>52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BA54"/>
      <c r="BB54"/>
      <c r="BC54"/>
      <c r="BD54"/>
      <c r="BE54"/>
      <c r="BF54"/>
      <c r="BG54"/>
      <c r="BH54"/>
      <c r="BI54"/>
      <c r="BJ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</row>
    <row r="55" spans="1:192" s="24" customFormat="1" ht="12" customHeight="1" x14ac:dyDescent="0.25">
      <c r="A55" s="45" t="s">
        <v>14</v>
      </c>
      <c r="B55" s="45" t="s">
        <v>15</v>
      </c>
      <c r="C55" s="45"/>
      <c r="D55" s="45"/>
      <c r="E55" s="45"/>
      <c r="F55" s="45"/>
      <c r="G55" s="45" t="s">
        <v>16</v>
      </c>
      <c r="H55" s="45"/>
      <c r="I55" s="45"/>
      <c r="J55" s="45"/>
      <c r="K55" s="45"/>
      <c r="L55" s="45"/>
      <c r="M55" s="45"/>
      <c r="N55" s="45"/>
      <c r="O55" s="46" t="s">
        <v>17</v>
      </c>
      <c r="P55" s="46"/>
      <c r="Q55" s="46"/>
      <c r="R55" s="47" t="s">
        <v>18</v>
      </c>
      <c r="S55" s="47"/>
      <c r="T55" s="47"/>
      <c r="U55" s="47"/>
      <c r="V55" s="45" t="s">
        <v>19</v>
      </c>
      <c r="W55" s="45"/>
      <c r="X55" s="45"/>
      <c r="Y55" s="45"/>
      <c r="Z55" s="56" t="s">
        <v>20</v>
      </c>
      <c r="AA55" s="56"/>
      <c r="AB55" s="45" t="s">
        <v>21</v>
      </c>
      <c r="AC55" s="45"/>
      <c r="AD55" s="45"/>
      <c r="AE55" s="45" t="s">
        <v>22</v>
      </c>
      <c r="AF55" s="45"/>
      <c r="AG55" s="45"/>
      <c r="AH55" s="45" t="s">
        <v>23</v>
      </c>
      <c r="AI55" s="45"/>
      <c r="AJ55" s="45"/>
      <c r="AK55" s="45"/>
      <c r="AL55" s="45" t="s">
        <v>24</v>
      </c>
      <c r="AM55" s="45"/>
      <c r="AN55" s="45"/>
      <c r="BA55"/>
      <c r="BB55"/>
      <c r="BC55"/>
      <c r="BD55"/>
      <c r="BE55"/>
      <c r="BF55"/>
      <c r="BG55"/>
      <c r="BH55"/>
      <c r="BI55"/>
      <c r="BJ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</row>
    <row r="56" spans="1:192" s="24" customFormat="1" ht="12" customHeight="1" x14ac:dyDescent="0.2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6"/>
      <c r="P56" s="46"/>
      <c r="Q56" s="46"/>
      <c r="R56" s="47"/>
      <c r="S56" s="47"/>
      <c r="T56" s="47"/>
      <c r="U56" s="47"/>
      <c r="V56" s="45"/>
      <c r="W56" s="45"/>
      <c r="X56" s="45"/>
      <c r="Y56" s="45"/>
      <c r="Z56" s="56"/>
      <c r="AA56" s="56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BA56"/>
      <c r="BB56"/>
      <c r="BC56"/>
      <c r="BD56"/>
      <c r="BE56"/>
      <c r="BF56"/>
      <c r="BG56"/>
      <c r="BH56"/>
      <c r="BI56"/>
      <c r="BJ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</row>
    <row r="57" spans="1:192" s="24" customFormat="1" ht="12" customHeight="1" x14ac:dyDescent="0.2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6"/>
      <c r="P57" s="46"/>
      <c r="Q57" s="46"/>
      <c r="R57" s="47"/>
      <c r="S57" s="47"/>
      <c r="T57" s="47"/>
      <c r="U57" s="47"/>
      <c r="V57" s="45"/>
      <c r="W57" s="45"/>
      <c r="X57" s="45"/>
      <c r="Y57" s="45"/>
      <c r="Z57" s="56"/>
      <c r="AA57" s="56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BA57"/>
      <c r="BB57"/>
      <c r="BC57"/>
      <c r="BD57"/>
      <c r="BE57"/>
      <c r="BF57"/>
      <c r="BG57"/>
      <c r="BH57"/>
      <c r="BI57"/>
      <c r="BJ57"/>
    </row>
    <row r="58" spans="1:192" s="24" customFormat="1" ht="12" customHeight="1" x14ac:dyDescent="0.2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6"/>
      <c r="P58" s="46"/>
      <c r="Q58" s="46"/>
      <c r="R58" s="47"/>
      <c r="S58" s="47"/>
      <c r="T58" s="47"/>
      <c r="U58" s="47"/>
      <c r="V58" s="45"/>
      <c r="W58" s="45"/>
      <c r="X58" s="45"/>
      <c r="Y58" s="45"/>
      <c r="Z58" s="56"/>
      <c r="AA58" s="56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BA58"/>
      <c r="BB58"/>
      <c r="BC58"/>
      <c r="BD58"/>
      <c r="BE58"/>
      <c r="BF58"/>
      <c r="BG58"/>
      <c r="BH58"/>
      <c r="BI58"/>
      <c r="BJ58"/>
    </row>
    <row r="59" spans="1:192" s="24" customFormat="1" ht="12" customHeight="1" x14ac:dyDescent="0.2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6"/>
      <c r="P59" s="46"/>
      <c r="Q59" s="46"/>
      <c r="R59" s="47"/>
      <c r="S59" s="47"/>
      <c r="T59" s="47"/>
      <c r="U59" s="47"/>
      <c r="V59" s="45"/>
      <c r="W59" s="45"/>
      <c r="X59" s="45"/>
      <c r="Y59" s="45"/>
      <c r="Z59" s="56"/>
      <c r="AA59" s="56"/>
      <c r="AB59" s="45"/>
      <c r="AC59" s="45"/>
      <c r="AD59" s="45"/>
      <c r="AE59" s="57"/>
      <c r="AF59" s="57"/>
      <c r="AG59" s="57"/>
      <c r="AH59" s="57"/>
      <c r="AI59" s="57"/>
      <c r="AJ59" s="57"/>
      <c r="AK59" s="57"/>
      <c r="AL59" s="45"/>
      <c r="AM59" s="45"/>
      <c r="AN59" s="45"/>
      <c r="BA59"/>
      <c r="BB59"/>
      <c r="BC59"/>
      <c r="BD59"/>
      <c r="BE59"/>
      <c r="BF59"/>
      <c r="BG59"/>
      <c r="BH59"/>
      <c r="BI59"/>
      <c r="BJ59"/>
    </row>
    <row r="60" spans="1:192" ht="35.1" customHeight="1" x14ac:dyDescent="0.25">
      <c r="A60" s="39">
        <v>1</v>
      </c>
      <c r="B60" s="60">
        <f t="shared" ref="B60:B78" si="3">B17</f>
        <v>0</v>
      </c>
      <c r="C60" s="60"/>
      <c r="D60" s="60"/>
      <c r="E60" s="60"/>
      <c r="F60" s="60"/>
      <c r="G60" s="60" t="str">
        <f t="shared" ref="G60:G78" si="4">G17</f>
        <v/>
      </c>
      <c r="H60" s="60"/>
      <c r="I60" s="60"/>
      <c r="J60" s="60"/>
      <c r="K60" s="60"/>
      <c r="L60" s="60"/>
      <c r="M60" s="60"/>
      <c r="N60" s="60"/>
      <c r="O60" s="75" t="str">
        <f>O17</f>
        <v/>
      </c>
      <c r="P60" s="75"/>
      <c r="Q60" s="75"/>
      <c r="R60" s="125" t="str">
        <f>R17</f>
        <v/>
      </c>
      <c r="S60" s="126"/>
      <c r="T60" s="126"/>
      <c r="U60" s="126"/>
      <c r="V60" s="59" t="str">
        <f t="shared" ref="V60:V78" si="5">V17</f>
        <v/>
      </c>
      <c r="W60" s="59"/>
      <c r="X60" s="59"/>
      <c r="Y60" s="59"/>
      <c r="Z60" s="127">
        <f t="shared" ref="Z60:Z78" si="6">Z17</f>
        <v>0</v>
      </c>
      <c r="AA60" s="127"/>
      <c r="AB60" s="59" t="str">
        <f t="shared" ref="AB60:AB78" si="7">AB17</f>
        <v/>
      </c>
      <c r="AC60" s="59"/>
      <c r="AD60" s="128"/>
      <c r="AE60" s="42">
        <f>AE17</f>
        <v>0</v>
      </c>
      <c r="AF60" s="67">
        <f t="shared" ref="AE60:AI75" si="8">AF17</f>
        <v>0</v>
      </c>
      <c r="AG60" s="67"/>
      <c r="AH60" s="42">
        <f t="shared" ref="AH60:AI61" si="9">AH17</f>
        <v>0</v>
      </c>
      <c r="AI60" s="67">
        <f t="shared" si="9"/>
        <v>0</v>
      </c>
      <c r="AJ60" s="67"/>
      <c r="AK60" s="68"/>
      <c r="AL60" s="124"/>
      <c r="AM60" s="70"/>
      <c r="AN60" s="70"/>
      <c r="BA60"/>
      <c r="BB60"/>
      <c r="BC60"/>
      <c r="BD60"/>
      <c r="BE60"/>
      <c r="BF60"/>
      <c r="BG60"/>
      <c r="BH60"/>
      <c r="BI60"/>
      <c r="BJ60"/>
    </row>
    <row r="61" spans="1:192" ht="35.1" customHeight="1" x14ac:dyDescent="0.25">
      <c r="A61" s="40">
        <f>A18</f>
        <v>0</v>
      </c>
      <c r="B61" s="61" t="str">
        <f t="shared" si="3"/>
        <v/>
      </c>
      <c r="C61" s="61"/>
      <c r="D61" s="61"/>
      <c r="E61" s="61"/>
      <c r="F61" s="61"/>
      <c r="G61" s="60" t="str">
        <f t="shared" si="4"/>
        <v/>
      </c>
      <c r="H61" s="60"/>
      <c r="I61" s="60"/>
      <c r="J61" s="60"/>
      <c r="K61" s="60"/>
      <c r="L61" s="60"/>
      <c r="M61" s="60"/>
      <c r="N61" s="60"/>
      <c r="O61" s="75" t="str">
        <f t="shared" ref="O61:O78" si="10">O18</f>
        <v/>
      </c>
      <c r="P61" s="75"/>
      <c r="Q61" s="75"/>
      <c r="R61" s="125" t="str">
        <f t="shared" ref="R61:R78" si="11">R18</f>
        <v/>
      </c>
      <c r="S61" s="126"/>
      <c r="T61" s="126"/>
      <c r="U61" s="126"/>
      <c r="V61" s="59" t="str">
        <f>V18</f>
        <v/>
      </c>
      <c r="W61" s="59"/>
      <c r="X61" s="59"/>
      <c r="Y61" s="59"/>
      <c r="Z61" s="127" t="str">
        <f t="shared" si="6"/>
        <v/>
      </c>
      <c r="AA61" s="127"/>
      <c r="AB61" s="59" t="str">
        <f t="shared" si="7"/>
        <v/>
      </c>
      <c r="AC61" s="59"/>
      <c r="AD61" s="128"/>
      <c r="AE61" s="42" t="str">
        <f t="shared" si="8"/>
        <v/>
      </c>
      <c r="AF61" s="67">
        <f t="shared" si="8"/>
        <v>0</v>
      </c>
      <c r="AG61" s="67"/>
      <c r="AH61" s="42" t="str">
        <f t="shared" si="9"/>
        <v/>
      </c>
      <c r="AI61" s="67">
        <f>AI18</f>
        <v>0</v>
      </c>
      <c r="AJ61" s="67"/>
      <c r="AK61" s="68"/>
      <c r="AL61" s="124"/>
      <c r="AM61" s="70"/>
      <c r="AN61" s="70"/>
      <c r="BA61"/>
      <c r="BB61"/>
      <c r="BC61"/>
      <c r="BD61"/>
      <c r="BE61"/>
      <c r="BF61"/>
      <c r="BG61"/>
      <c r="BH61"/>
      <c r="BI61"/>
      <c r="BJ61"/>
    </row>
    <row r="62" spans="1:192" ht="35.1" customHeight="1" x14ac:dyDescent="0.2">
      <c r="A62" s="40">
        <f>A19</f>
        <v>0</v>
      </c>
      <c r="B62" s="60" t="str">
        <f t="shared" si="3"/>
        <v/>
      </c>
      <c r="C62" s="60"/>
      <c r="D62" s="60"/>
      <c r="E62" s="60"/>
      <c r="F62" s="60"/>
      <c r="G62" s="60" t="str">
        <f t="shared" si="4"/>
        <v/>
      </c>
      <c r="H62" s="60"/>
      <c r="I62" s="60"/>
      <c r="J62" s="60"/>
      <c r="K62" s="60"/>
      <c r="L62" s="60"/>
      <c r="M62" s="60"/>
      <c r="N62" s="60"/>
      <c r="O62" s="75" t="str">
        <f t="shared" si="10"/>
        <v/>
      </c>
      <c r="P62" s="75"/>
      <c r="Q62" s="75"/>
      <c r="R62" s="125" t="str">
        <f t="shared" si="11"/>
        <v/>
      </c>
      <c r="S62" s="126"/>
      <c r="T62" s="126"/>
      <c r="U62" s="126"/>
      <c r="V62" s="129" t="str">
        <f t="shared" si="5"/>
        <v/>
      </c>
      <c r="W62" s="129"/>
      <c r="X62" s="129"/>
      <c r="Y62" s="129"/>
      <c r="Z62" s="127" t="str">
        <f t="shared" si="6"/>
        <v/>
      </c>
      <c r="AA62" s="127"/>
      <c r="AB62" s="59" t="str">
        <f t="shared" si="7"/>
        <v/>
      </c>
      <c r="AC62" s="59"/>
      <c r="AD62" s="128"/>
      <c r="AE62" s="42" t="str">
        <f t="shared" si="8"/>
        <v/>
      </c>
      <c r="AF62" s="67">
        <f t="shared" si="8"/>
        <v>0</v>
      </c>
      <c r="AG62" s="67"/>
      <c r="AH62" s="42" t="str">
        <f t="shared" si="8"/>
        <v/>
      </c>
      <c r="AI62" s="67">
        <f t="shared" si="8"/>
        <v>0</v>
      </c>
      <c r="AJ62" s="67"/>
      <c r="AK62" s="68"/>
      <c r="AL62" s="124"/>
      <c r="AM62" s="70"/>
      <c r="AN62" s="70"/>
    </row>
    <row r="63" spans="1:192" ht="35.1" customHeight="1" x14ac:dyDescent="0.2">
      <c r="A63" s="40">
        <f t="shared" ref="A63:A78" si="12">A20</f>
        <v>0</v>
      </c>
      <c r="B63" s="60" t="str">
        <f t="shared" si="3"/>
        <v/>
      </c>
      <c r="C63" s="60"/>
      <c r="D63" s="60"/>
      <c r="E63" s="60"/>
      <c r="F63" s="60"/>
      <c r="G63" s="60" t="str">
        <f t="shared" si="4"/>
        <v/>
      </c>
      <c r="H63" s="60"/>
      <c r="I63" s="60"/>
      <c r="J63" s="60"/>
      <c r="K63" s="60"/>
      <c r="L63" s="60"/>
      <c r="M63" s="60"/>
      <c r="N63" s="60"/>
      <c r="O63" s="75" t="str">
        <f t="shared" si="10"/>
        <v/>
      </c>
      <c r="P63" s="75"/>
      <c r="Q63" s="75"/>
      <c r="R63" s="125" t="str">
        <f t="shared" si="11"/>
        <v/>
      </c>
      <c r="S63" s="126"/>
      <c r="T63" s="126"/>
      <c r="U63" s="126"/>
      <c r="V63" s="129" t="str">
        <f t="shared" si="5"/>
        <v/>
      </c>
      <c r="W63" s="129"/>
      <c r="X63" s="129"/>
      <c r="Y63" s="129"/>
      <c r="Z63" s="127" t="str">
        <f t="shared" si="6"/>
        <v/>
      </c>
      <c r="AA63" s="127"/>
      <c r="AB63" s="59" t="str">
        <f t="shared" si="7"/>
        <v/>
      </c>
      <c r="AC63" s="59"/>
      <c r="AD63" s="128"/>
      <c r="AE63" s="42" t="str">
        <f t="shared" si="8"/>
        <v/>
      </c>
      <c r="AF63" s="67">
        <f t="shared" si="8"/>
        <v>0</v>
      </c>
      <c r="AG63" s="67"/>
      <c r="AH63" s="42" t="str">
        <f t="shared" si="8"/>
        <v/>
      </c>
      <c r="AI63" s="67">
        <f t="shared" si="8"/>
        <v>0</v>
      </c>
      <c r="AJ63" s="67"/>
      <c r="AK63" s="68"/>
      <c r="AL63" s="124"/>
      <c r="AM63" s="70"/>
      <c r="AN63" s="70"/>
    </row>
    <row r="64" spans="1:192" ht="35.1" customHeight="1" x14ac:dyDescent="0.2">
      <c r="A64" s="40">
        <f t="shared" si="12"/>
        <v>0</v>
      </c>
      <c r="B64" s="60" t="str">
        <f t="shared" si="3"/>
        <v/>
      </c>
      <c r="C64" s="60"/>
      <c r="D64" s="60"/>
      <c r="E64" s="60"/>
      <c r="F64" s="60"/>
      <c r="G64" s="59" t="str">
        <f t="shared" si="4"/>
        <v/>
      </c>
      <c r="H64" s="59"/>
      <c r="I64" s="59"/>
      <c r="J64" s="59"/>
      <c r="K64" s="59"/>
      <c r="L64" s="59"/>
      <c r="M64" s="59"/>
      <c r="N64" s="59"/>
      <c r="O64" s="75" t="str">
        <f t="shared" si="10"/>
        <v/>
      </c>
      <c r="P64" s="75"/>
      <c r="Q64" s="75"/>
      <c r="R64" s="125" t="str">
        <f t="shared" si="11"/>
        <v/>
      </c>
      <c r="S64" s="126"/>
      <c r="T64" s="126"/>
      <c r="U64" s="126"/>
      <c r="V64" s="129" t="str">
        <f t="shared" si="5"/>
        <v/>
      </c>
      <c r="W64" s="129"/>
      <c r="X64" s="129"/>
      <c r="Y64" s="129"/>
      <c r="Z64" s="127" t="str">
        <f t="shared" si="6"/>
        <v/>
      </c>
      <c r="AA64" s="127"/>
      <c r="AB64" s="59" t="str">
        <f t="shared" si="7"/>
        <v/>
      </c>
      <c r="AC64" s="59"/>
      <c r="AD64" s="128"/>
      <c r="AE64" s="42" t="str">
        <f t="shared" si="8"/>
        <v/>
      </c>
      <c r="AF64" s="67">
        <f t="shared" si="8"/>
        <v>0</v>
      </c>
      <c r="AG64" s="67"/>
      <c r="AH64" s="42" t="str">
        <f t="shared" si="8"/>
        <v/>
      </c>
      <c r="AI64" s="67">
        <f t="shared" si="8"/>
        <v>0</v>
      </c>
      <c r="AJ64" s="67"/>
      <c r="AK64" s="68"/>
      <c r="AL64" s="124"/>
      <c r="AM64" s="70"/>
      <c r="AN64" s="70"/>
    </row>
    <row r="65" spans="1:40" ht="35.1" customHeight="1" x14ac:dyDescent="0.2">
      <c r="A65" s="40">
        <f t="shared" si="12"/>
        <v>0</v>
      </c>
      <c r="B65" s="60" t="str">
        <f t="shared" si="3"/>
        <v/>
      </c>
      <c r="C65" s="60"/>
      <c r="D65" s="60"/>
      <c r="E65" s="60"/>
      <c r="F65" s="60"/>
      <c r="G65" s="59" t="str">
        <f t="shared" si="4"/>
        <v/>
      </c>
      <c r="H65" s="59"/>
      <c r="I65" s="59"/>
      <c r="J65" s="59"/>
      <c r="K65" s="59"/>
      <c r="L65" s="59"/>
      <c r="M65" s="59"/>
      <c r="N65" s="59"/>
      <c r="O65" s="75" t="str">
        <f t="shared" si="10"/>
        <v/>
      </c>
      <c r="P65" s="75"/>
      <c r="Q65" s="75"/>
      <c r="R65" s="125" t="str">
        <f t="shared" si="11"/>
        <v/>
      </c>
      <c r="S65" s="126"/>
      <c r="T65" s="126"/>
      <c r="U65" s="126"/>
      <c r="V65" s="129" t="str">
        <f t="shared" si="5"/>
        <v/>
      </c>
      <c r="W65" s="129"/>
      <c r="X65" s="129"/>
      <c r="Y65" s="129"/>
      <c r="Z65" s="127" t="str">
        <f t="shared" si="6"/>
        <v/>
      </c>
      <c r="AA65" s="127"/>
      <c r="AB65" s="59" t="str">
        <f t="shared" si="7"/>
        <v/>
      </c>
      <c r="AC65" s="59"/>
      <c r="AD65" s="128"/>
      <c r="AE65" s="42" t="str">
        <f>AE22</f>
        <v/>
      </c>
      <c r="AF65" s="67">
        <f>AF22</f>
        <v>0</v>
      </c>
      <c r="AG65" s="67"/>
      <c r="AH65" s="42" t="str">
        <f t="shared" si="8"/>
        <v/>
      </c>
      <c r="AI65" s="67">
        <f t="shared" si="8"/>
        <v>0</v>
      </c>
      <c r="AJ65" s="67"/>
      <c r="AK65" s="68"/>
      <c r="AL65" s="124"/>
      <c r="AM65" s="70"/>
      <c r="AN65" s="70"/>
    </row>
    <row r="66" spans="1:40" ht="35.1" customHeight="1" x14ac:dyDescent="0.2">
      <c r="A66" s="40">
        <f t="shared" si="12"/>
        <v>0</v>
      </c>
      <c r="B66" s="74" t="str">
        <f t="shared" si="3"/>
        <v/>
      </c>
      <c r="C66" s="74"/>
      <c r="D66" s="74"/>
      <c r="E66" s="74"/>
      <c r="F66" s="74"/>
      <c r="G66" s="129" t="str">
        <f t="shared" si="4"/>
        <v/>
      </c>
      <c r="H66" s="129"/>
      <c r="I66" s="129"/>
      <c r="J66" s="129"/>
      <c r="K66" s="129"/>
      <c r="L66" s="129"/>
      <c r="M66" s="129"/>
      <c r="N66" s="129"/>
      <c r="O66" s="75" t="str">
        <f t="shared" si="10"/>
        <v/>
      </c>
      <c r="P66" s="75"/>
      <c r="Q66" s="75"/>
      <c r="R66" s="125" t="str">
        <f t="shared" si="11"/>
        <v/>
      </c>
      <c r="S66" s="126"/>
      <c r="T66" s="126"/>
      <c r="U66" s="126"/>
      <c r="V66" s="129" t="str">
        <f t="shared" si="5"/>
        <v/>
      </c>
      <c r="W66" s="129"/>
      <c r="X66" s="129"/>
      <c r="Y66" s="129"/>
      <c r="Z66" s="127" t="str">
        <f t="shared" si="6"/>
        <v/>
      </c>
      <c r="AA66" s="127"/>
      <c r="AB66" s="70" t="str">
        <f t="shared" si="7"/>
        <v/>
      </c>
      <c r="AC66" s="70"/>
      <c r="AD66" s="137"/>
      <c r="AE66" s="42" t="str">
        <f>AE23</f>
        <v/>
      </c>
      <c r="AF66" s="134">
        <f>AF23</f>
        <v>0</v>
      </c>
      <c r="AG66" s="134"/>
      <c r="AH66" s="42" t="str">
        <f t="shared" si="8"/>
        <v/>
      </c>
      <c r="AI66" s="134">
        <f t="shared" si="8"/>
        <v>0</v>
      </c>
      <c r="AJ66" s="134"/>
      <c r="AK66" s="135"/>
      <c r="AL66" s="124"/>
      <c r="AM66" s="70"/>
      <c r="AN66" s="70"/>
    </row>
    <row r="67" spans="1:40" s="27" customFormat="1" ht="35.1" customHeight="1" x14ac:dyDescent="0.2">
      <c r="A67" s="40">
        <f t="shared" si="12"/>
        <v>0</v>
      </c>
      <c r="B67" s="74" t="str">
        <f t="shared" si="3"/>
        <v/>
      </c>
      <c r="C67" s="74"/>
      <c r="D67" s="74"/>
      <c r="E67" s="74"/>
      <c r="F67" s="74"/>
      <c r="G67" s="71" t="str">
        <f t="shared" si="4"/>
        <v/>
      </c>
      <c r="H67" s="71"/>
      <c r="I67" s="71"/>
      <c r="J67" s="71"/>
      <c r="K67" s="71"/>
      <c r="L67" s="71"/>
      <c r="M67" s="71"/>
      <c r="N67" s="71"/>
      <c r="O67" s="75" t="str">
        <f t="shared" si="10"/>
        <v/>
      </c>
      <c r="P67" s="75"/>
      <c r="Q67" s="75"/>
      <c r="R67" s="125" t="str">
        <f t="shared" si="11"/>
        <v/>
      </c>
      <c r="S67" s="126"/>
      <c r="T67" s="126"/>
      <c r="U67" s="126"/>
      <c r="V67" s="71" t="str">
        <f t="shared" si="5"/>
        <v/>
      </c>
      <c r="W67" s="71"/>
      <c r="X67" s="71"/>
      <c r="Y67" s="71"/>
      <c r="Z67" s="130" t="str">
        <f t="shared" si="6"/>
        <v/>
      </c>
      <c r="AA67" s="130"/>
      <c r="AB67" s="74" t="str">
        <f t="shared" si="7"/>
        <v/>
      </c>
      <c r="AC67" s="74"/>
      <c r="AD67" s="131"/>
      <c r="AE67" s="42" t="str">
        <f t="shared" si="8"/>
        <v/>
      </c>
      <c r="AF67" s="132">
        <f t="shared" si="8"/>
        <v>0</v>
      </c>
      <c r="AG67" s="133"/>
      <c r="AH67" s="42" t="str">
        <f t="shared" si="8"/>
        <v/>
      </c>
      <c r="AI67" s="134">
        <f t="shared" si="8"/>
        <v>0</v>
      </c>
      <c r="AJ67" s="134"/>
      <c r="AK67" s="135"/>
      <c r="AL67" s="136"/>
      <c r="AM67" s="74"/>
      <c r="AN67" s="74"/>
    </row>
    <row r="68" spans="1:40" ht="35.1" customHeight="1" x14ac:dyDescent="0.2">
      <c r="A68" s="40">
        <f t="shared" si="12"/>
        <v>0</v>
      </c>
      <c r="B68" s="74" t="str">
        <f t="shared" si="3"/>
        <v/>
      </c>
      <c r="C68" s="74"/>
      <c r="D68" s="74"/>
      <c r="E68" s="74"/>
      <c r="F68" s="74"/>
      <c r="G68" s="129" t="str">
        <f t="shared" si="4"/>
        <v/>
      </c>
      <c r="H68" s="129"/>
      <c r="I68" s="129"/>
      <c r="J68" s="129"/>
      <c r="K68" s="129"/>
      <c r="L68" s="129"/>
      <c r="M68" s="129"/>
      <c r="N68" s="129"/>
      <c r="O68" s="75" t="str">
        <f t="shared" si="10"/>
        <v/>
      </c>
      <c r="P68" s="75"/>
      <c r="Q68" s="75"/>
      <c r="R68" s="125" t="str">
        <f t="shared" si="11"/>
        <v/>
      </c>
      <c r="S68" s="126"/>
      <c r="T68" s="126"/>
      <c r="U68" s="126"/>
      <c r="V68" s="129" t="str">
        <f t="shared" si="5"/>
        <v/>
      </c>
      <c r="W68" s="129"/>
      <c r="X68" s="129"/>
      <c r="Y68" s="129"/>
      <c r="Z68" s="127" t="str">
        <f t="shared" si="6"/>
        <v/>
      </c>
      <c r="AA68" s="127"/>
      <c r="AB68" s="70" t="str">
        <f t="shared" si="7"/>
        <v/>
      </c>
      <c r="AC68" s="70"/>
      <c r="AD68" s="137"/>
      <c r="AE68" s="42" t="str">
        <f t="shared" si="8"/>
        <v/>
      </c>
      <c r="AF68" s="138" t="str">
        <f t="shared" si="8"/>
        <v/>
      </c>
      <c r="AG68" s="139"/>
      <c r="AH68" s="42" t="str">
        <f t="shared" si="8"/>
        <v/>
      </c>
      <c r="AI68" s="134" t="str">
        <f t="shared" si="8"/>
        <v/>
      </c>
      <c r="AJ68" s="134"/>
      <c r="AK68" s="135"/>
      <c r="AL68" s="124"/>
      <c r="AM68" s="70"/>
      <c r="AN68" s="70"/>
    </row>
    <row r="69" spans="1:40" ht="35.1" customHeight="1" x14ac:dyDescent="0.2">
      <c r="A69" s="40">
        <f t="shared" si="12"/>
        <v>0</v>
      </c>
      <c r="B69" s="74" t="str">
        <f t="shared" si="3"/>
        <v/>
      </c>
      <c r="C69" s="74"/>
      <c r="D69" s="74"/>
      <c r="E69" s="74"/>
      <c r="F69" s="74"/>
      <c r="G69" s="129" t="str">
        <f t="shared" si="4"/>
        <v/>
      </c>
      <c r="H69" s="129"/>
      <c r="I69" s="129"/>
      <c r="J69" s="129"/>
      <c r="K69" s="129"/>
      <c r="L69" s="129"/>
      <c r="M69" s="129"/>
      <c r="N69" s="129"/>
      <c r="O69" s="75" t="str">
        <f t="shared" si="10"/>
        <v/>
      </c>
      <c r="P69" s="75"/>
      <c r="Q69" s="75"/>
      <c r="R69" s="125" t="str">
        <f t="shared" si="11"/>
        <v/>
      </c>
      <c r="S69" s="126"/>
      <c r="T69" s="126"/>
      <c r="U69" s="126"/>
      <c r="V69" s="129" t="str">
        <f t="shared" si="5"/>
        <v/>
      </c>
      <c r="W69" s="129"/>
      <c r="X69" s="129"/>
      <c r="Y69" s="129"/>
      <c r="Z69" s="127" t="str">
        <f t="shared" si="6"/>
        <v/>
      </c>
      <c r="AA69" s="127"/>
      <c r="AB69" s="70" t="str">
        <f t="shared" si="7"/>
        <v/>
      </c>
      <c r="AC69" s="70"/>
      <c r="AD69" s="137"/>
      <c r="AE69" s="42" t="str">
        <f t="shared" si="8"/>
        <v/>
      </c>
      <c r="AF69" s="138" t="str">
        <f t="shared" si="8"/>
        <v/>
      </c>
      <c r="AG69" s="139"/>
      <c r="AH69" s="42" t="str">
        <f t="shared" si="8"/>
        <v/>
      </c>
      <c r="AI69" s="134" t="str">
        <f t="shared" si="8"/>
        <v/>
      </c>
      <c r="AJ69" s="134"/>
      <c r="AK69" s="135"/>
      <c r="AL69" s="124"/>
      <c r="AM69" s="70"/>
      <c r="AN69" s="70"/>
    </row>
    <row r="70" spans="1:40" ht="35.1" customHeight="1" x14ac:dyDescent="0.2">
      <c r="A70" s="40">
        <f t="shared" si="12"/>
        <v>0</v>
      </c>
      <c r="B70" s="74" t="str">
        <f t="shared" si="3"/>
        <v/>
      </c>
      <c r="C70" s="74"/>
      <c r="D70" s="74"/>
      <c r="E70" s="74"/>
      <c r="F70" s="74"/>
      <c r="G70" s="129" t="str">
        <f t="shared" si="4"/>
        <v/>
      </c>
      <c r="H70" s="129"/>
      <c r="I70" s="129"/>
      <c r="J70" s="129"/>
      <c r="K70" s="129"/>
      <c r="L70" s="129"/>
      <c r="M70" s="129"/>
      <c r="N70" s="129"/>
      <c r="O70" s="75" t="str">
        <f t="shared" si="10"/>
        <v/>
      </c>
      <c r="P70" s="75"/>
      <c r="Q70" s="75"/>
      <c r="R70" s="125" t="str">
        <f t="shared" si="11"/>
        <v/>
      </c>
      <c r="S70" s="126"/>
      <c r="T70" s="126"/>
      <c r="U70" s="126"/>
      <c r="V70" s="129" t="str">
        <f t="shared" si="5"/>
        <v/>
      </c>
      <c r="W70" s="129"/>
      <c r="X70" s="129"/>
      <c r="Y70" s="129"/>
      <c r="Z70" s="127" t="str">
        <f t="shared" si="6"/>
        <v/>
      </c>
      <c r="AA70" s="127"/>
      <c r="AB70" s="70" t="str">
        <f t="shared" si="7"/>
        <v/>
      </c>
      <c r="AC70" s="70"/>
      <c r="AD70" s="137"/>
      <c r="AE70" s="42" t="str">
        <f t="shared" si="8"/>
        <v/>
      </c>
      <c r="AF70" s="138" t="str">
        <f t="shared" si="8"/>
        <v/>
      </c>
      <c r="AG70" s="139"/>
      <c r="AH70" s="42" t="str">
        <f t="shared" si="8"/>
        <v/>
      </c>
      <c r="AI70" s="134" t="str">
        <f t="shared" si="8"/>
        <v/>
      </c>
      <c r="AJ70" s="134"/>
      <c r="AK70" s="135"/>
      <c r="AL70" s="124" t="s">
        <v>53</v>
      </c>
      <c r="AM70" s="70"/>
      <c r="AN70" s="70"/>
    </row>
    <row r="71" spans="1:40" ht="35.1" customHeight="1" x14ac:dyDescent="0.2">
      <c r="A71" s="40">
        <f t="shared" si="12"/>
        <v>0</v>
      </c>
      <c r="B71" s="74" t="str">
        <f t="shared" si="3"/>
        <v/>
      </c>
      <c r="C71" s="74"/>
      <c r="D71" s="74"/>
      <c r="E71" s="74"/>
      <c r="F71" s="74"/>
      <c r="G71" s="129" t="str">
        <f t="shared" si="4"/>
        <v/>
      </c>
      <c r="H71" s="129"/>
      <c r="I71" s="129"/>
      <c r="J71" s="129"/>
      <c r="K71" s="129"/>
      <c r="L71" s="129"/>
      <c r="M71" s="129"/>
      <c r="N71" s="129"/>
      <c r="O71" s="75" t="str">
        <f t="shared" si="10"/>
        <v/>
      </c>
      <c r="P71" s="75"/>
      <c r="Q71" s="75"/>
      <c r="R71" s="125" t="str">
        <f t="shared" si="11"/>
        <v/>
      </c>
      <c r="S71" s="126"/>
      <c r="T71" s="126"/>
      <c r="U71" s="126"/>
      <c r="V71" s="129" t="str">
        <f t="shared" si="5"/>
        <v/>
      </c>
      <c r="W71" s="129"/>
      <c r="X71" s="129"/>
      <c r="Y71" s="129"/>
      <c r="Z71" s="127" t="str">
        <f t="shared" si="6"/>
        <v/>
      </c>
      <c r="AA71" s="127"/>
      <c r="AB71" s="70" t="str">
        <f t="shared" si="7"/>
        <v/>
      </c>
      <c r="AC71" s="70"/>
      <c r="AD71" s="137"/>
      <c r="AE71" s="42" t="str">
        <f>AE28</f>
        <v/>
      </c>
      <c r="AF71" s="138" t="str">
        <f>AF28</f>
        <v/>
      </c>
      <c r="AG71" s="139"/>
      <c r="AH71" s="42" t="str">
        <f t="shared" si="8"/>
        <v/>
      </c>
      <c r="AI71" s="134" t="str">
        <f t="shared" si="8"/>
        <v/>
      </c>
      <c r="AJ71" s="134"/>
      <c r="AK71" s="135"/>
      <c r="AL71" s="124"/>
      <c r="AM71" s="70"/>
      <c r="AN71" s="70"/>
    </row>
    <row r="72" spans="1:40" ht="35.1" customHeight="1" x14ac:dyDescent="0.2">
      <c r="A72" s="40">
        <f t="shared" si="12"/>
        <v>0</v>
      </c>
      <c r="B72" s="74" t="str">
        <f t="shared" si="3"/>
        <v/>
      </c>
      <c r="C72" s="74"/>
      <c r="D72" s="74"/>
      <c r="E72" s="74"/>
      <c r="F72" s="74"/>
      <c r="G72" s="129" t="str">
        <f t="shared" si="4"/>
        <v/>
      </c>
      <c r="H72" s="129"/>
      <c r="I72" s="129"/>
      <c r="J72" s="129"/>
      <c r="K72" s="129"/>
      <c r="L72" s="129"/>
      <c r="M72" s="129"/>
      <c r="N72" s="129"/>
      <c r="O72" s="75" t="str">
        <f t="shared" si="10"/>
        <v/>
      </c>
      <c r="P72" s="75"/>
      <c r="Q72" s="75"/>
      <c r="R72" s="125" t="str">
        <f t="shared" si="11"/>
        <v/>
      </c>
      <c r="S72" s="126"/>
      <c r="T72" s="126"/>
      <c r="U72" s="126"/>
      <c r="V72" s="129" t="str">
        <f t="shared" si="5"/>
        <v/>
      </c>
      <c r="W72" s="129"/>
      <c r="X72" s="129"/>
      <c r="Y72" s="129"/>
      <c r="Z72" s="127" t="str">
        <f t="shared" si="6"/>
        <v/>
      </c>
      <c r="AA72" s="127"/>
      <c r="AB72" s="70" t="str">
        <f t="shared" si="7"/>
        <v/>
      </c>
      <c r="AC72" s="70"/>
      <c r="AD72" s="137"/>
      <c r="AE72" s="42" t="str">
        <f t="shared" si="8"/>
        <v/>
      </c>
      <c r="AF72" s="138" t="str">
        <f t="shared" si="8"/>
        <v/>
      </c>
      <c r="AG72" s="139"/>
      <c r="AH72" s="42" t="str">
        <f t="shared" si="8"/>
        <v/>
      </c>
      <c r="AI72" s="134" t="str">
        <f t="shared" si="8"/>
        <v/>
      </c>
      <c r="AJ72" s="134"/>
      <c r="AK72" s="135"/>
      <c r="AL72" s="124"/>
      <c r="AM72" s="70"/>
      <c r="AN72" s="70"/>
    </row>
    <row r="73" spans="1:40" ht="35.1" customHeight="1" x14ac:dyDescent="0.2">
      <c r="A73" s="40">
        <f t="shared" si="12"/>
        <v>0</v>
      </c>
      <c r="B73" s="74" t="str">
        <f t="shared" si="3"/>
        <v/>
      </c>
      <c r="C73" s="74"/>
      <c r="D73" s="74"/>
      <c r="E73" s="74"/>
      <c r="F73" s="74"/>
      <c r="G73" s="129" t="str">
        <f t="shared" si="4"/>
        <v/>
      </c>
      <c r="H73" s="129"/>
      <c r="I73" s="129"/>
      <c r="J73" s="129"/>
      <c r="K73" s="129"/>
      <c r="L73" s="129"/>
      <c r="M73" s="129"/>
      <c r="N73" s="129"/>
      <c r="O73" s="75" t="str">
        <f t="shared" si="10"/>
        <v/>
      </c>
      <c r="P73" s="75"/>
      <c r="Q73" s="75"/>
      <c r="R73" s="125" t="str">
        <f t="shared" si="11"/>
        <v/>
      </c>
      <c r="S73" s="126"/>
      <c r="T73" s="126"/>
      <c r="U73" s="126"/>
      <c r="V73" s="129" t="str">
        <f t="shared" si="5"/>
        <v/>
      </c>
      <c r="W73" s="129"/>
      <c r="X73" s="129"/>
      <c r="Y73" s="129"/>
      <c r="Z73" s="127" t="str">
        <f t="shared" si="6"/>
        <v/>
      </c>
      <c r="AA73" s="127"/>
      <c r="AB73" s="70" t="str">
        <f t="shared" si="7"/>
        <v/>
      </c>
      <c r="AC73" s="70"/>
      <c r="AD73" s="137"/>
      <c r="AE73" s="42" t="str">
        <f t="shared" si="8"/>
        <v/>
      </c>
      <c r="AF73" s="138" t="str">
        <f t="shared" si="8"/>
        <v/>
      </c>
      <c r="AG73" s="139"/>
      <c r="AH73" s="42" t="str">
        <f t="shared" si="8"/>
        <v/>
      </c>
      <c r="AI73" s="134" t="str">
        <f t="shared" si="8"/>
        <v/>
      </c>
      <c r="AJ73" s="134"/>
      <c r="AK73" s="135"/>
      <c r="AL73" s="124"/>
      <c r="AM73" s="70"/>
      <c r="AN73" s="70"/>
    </row>
    <row r="74" spans="1:40" ht="35.1" customHeight="1" x14ac:dyDescent="0.2">
      <c r="A74" s="40">
        <f t="shared" si="12"/>
        <v>0</v>
      </c>
      <c r="B74" s="74" t="str">
        <f t="shared" si="3"/>
        <v/>
      </c>
      <c r="C74" s="74"/>
      <c r="D74" s="74"/>
      <c r="E74" s="74"/>
      <c r="F74" s="74"/>
      <c r="G74" s="129" t="str">
        <f t="shared" si="4"/>
        <v/>
      </c>
      <c r="H74" s="129"/>
      <c r="I74" s="129"/>
      <c r="J74" s="129"/>
      <c r="K74" s="129"/>
      <c r="L74" s="129"/>
      <c r="M74" s="129"/>
      <c r="N74" s="129"/>
      <c r="O74" s="75" t="str">
        <f t="shared" si="10"/>
        <v/>
      </c>
      <c r="P74" s="75"/>
      <c r="Q74" s="75"/>
      <c r="R74" s="125" t="str">
        <f t="shared" si="11"/>
        <v/>
      </c>
      <c r="S74" s="126"/>
      <c r="T74" s="126"/>
      <c r="U74" s="126"/>
      <c r="V74" s="129" t="str">
        <f t="shared" si="5"/>
        <v/>
      </c>
      <c r="W74" s="129"/>
      <c r="X74" s="129"/>
      <c r="Y74" s="129"/>
      <c r="Z74" s="127" t="str">
        <f t="shared" si="6"/>
        <v/>
      </c>
      <c r="AA74" s="127"/>
      <c r="AB74" s="70" t="str">
        <f t="shared" si="7"/>
        <v/>
      </c>
      <c r="AC74" s="70"/>
      <c r="AD74" s="137"/>
      <c r="AE74" s="42" t="str">
        <f t="shared" si="8"/>
        <v/>
      </c>
      <c r="AF74" s="138" t="str">
        <f t="shared" si="8"/>
        <v/>
      </c>
      <c r="AG74" s="139"/>
      <c r="AH74" s="42" t="str">
        <f t="shared" si="8"/>
        <v/>
      </c>
      <c r="AI74" s="134" t="str">
        <f t="shared" si="8"/>
        <v/>
      </c>
      <c r="AJ74" s="134"/>
      <c r="AK74" s="135"/>
      <c r="AL74" s="124"/>
      <c r="AM74" s="70"/>
      <c r="AN74" s="70"/>
    </row>
    <row r="75" spans="1:40" ht="35.1" customHeight="1" x14ac:dyDescent="0.2">
      <c r="A75" s="40">
        <f t="shared" si="12"/>
        <v>0</v>
      </c>
      <c r="B75" s="74" t="str">
        <f t="shared" si="3"/>
        <v/>
      </c>
      <c r="C75" s="74"/>
      <c r="D75" s="74"/>
      <c r="E75" s="74"/>
      <c r="F75" s="74"/>
      <c r="G75" s="129" t="str">
        <f t="shared" si="4"/>
        <v/>
      </c>
      <c r="H75" s="129"/>
      <c r="I75" s="129"/>
      <c r="J75" s="129"/>
      <c r="K75" s="129"/>
      <c r="L75" s="129"/>
      <c r="M75" s="129"/>
      <c r="N75" s="129"/>
      <c r="O75" s="75" t="str">
        <f t="shared" si="10"/>
        <v/>
      </c>
      <c r="P75" s="75"/>
      <c r="Q75" s="75"/>
      <c r="R75" s="125" t="str">
        <f t="shared" si="11"/>
        <v/>
      </c>
      <c r="S75" s="126"/>
      <c r="T75" s="126"/>
      <c r="U75" s="126"/>
      <c r="V75" s="129" t="str">
        <f t="shared" si="5"/>
        <v/>
      </c>
      <c r="W75" s="129"/>
      <c r="X75" s="129"/>
      <c r="Y75" s="129"/>
      <c r="Z75" s="127" t="str">
        <f t="shared" si="6"/>
        <v/>
      </c>
      <c r="AA75" s="127"/>
      <c r="AB75" s="70" t="str">
        <f t="shared" si="7"/>
        <v/>
      </c>
      <c r="AC75" s="70"/>
      <c r="AD75" s="137"/>
      <c r="AE75" s="42" t="str">
        <f t="shared" si="8"/>
        <v/>
      </c>
      <c r="AF75" s="138" t="str">
        <f t="shared" si="8"/>
        <v/>
      </c>
      <c r="AG75" s="139"/>
      <c r="AH75" s="42" t="str">
        <f t="shared" si="8"/>
        <v/>
      </c>
      <c r="AI75" s="134" t="str">
        <f t="shared" si="8"/>
        <v/>
      </c>
      <c r="AJ75" s="134"/>
      <c r="AK75" s="135"/>
      <c r="AL75" s="124"/>
      <c r="AM75" s="70"/>
      <c r="AN75" s="70"/>
    </row>
    <row r="76" spans="1:40" ht="35.1" customHeight="1" x14ac:dyDescent="0.2">
      <c r="A76" s="40">
        <f t="shared" si="12"/>
        <v>0</v>
      </c>
      <c r="B76" s="74" t="str">
        <f t="shared" si="3"/>
        <v/>
      </c>
      <c r="C76" s="74"/>
      <c r="D76" s="74"/>
      <c r="E76" s="74"/>
      <c r="F76" s="74"/>
      <c r="G76" s="129" t="str">
        <f t="shared" si="4"/>
        <v/>
      </c>
      <c r="H76" s="129"/>
      <c r="I76" s="129"/>
      <c r="J76" s="129"/>
      <c r="K76" s="129"/>
      <c r="L76" s="129"/>
      <c r="M76" s="129"/>
      <c r="N76" s="129"/>
      <c r="O76" s="75" t="str">
        <f t="shared" si="10"/>
        <v/>
      </c>
      <c r="P76" s="75"/>
      <c r="Q76" s="75"/>
      <c r="R76" s="125" t="str">
        <f t="shared" si="11"/>
        <v/>
      </c>
      <c r="S76" s="126"/>
      <c r="T76" s="126"/>
      <c r="U76" s="126"/>
      <c r="V76" s="129" t="str">
        <f t="shared" si="5"/>
        <v/>
      </c>
      <c r="W76" s="129"/>
      <c r="X76" s="129"/>
      <c r="Y76" s="129"/>
      <c r="Z76" s="127" t="str">
        <f t="shared" si="6"/>
        <v/>
      </c>
      <c r="AA76" s="127"/>
      <c r="AB76" s="70" t="str">
        <f t="shared" si="7"/>
        <v/>
      </c>
      <c r="AC76" s="70"/>
      <c r="AD76" s="137"/>
      <c r="AE76" s="42" t="str">
        <f t="shared" ref="AE76:AF78" si="13">AE33</f>
        <v/>
      </c>
      <c r="AF76" s="138" t="str">
        <f t="shared" si="13"/>
        <v/>
      </c>
      <c r="AG76" s="139"/>
      <c r="AH76" s="42" t="str">
        <f t="shared" ref="AH76:AI78" si="14">AH33</f>
        <v/>
      </c>
      <c r="AI76" s="134" t="str">
        <f t="shared" si="14"/>
        <v/>
      </c>
      <c r="AJ76" s="134"/>
      <c r="AK76" s="135"/>
      <c r="AL76" s="124"/>
      <c r="AM76" s="70"/>
      <c r="AN76" s="70"/>
    </row>
    <row r="77" spans="1:40" ht="35.1" customHeight="1" x14ac:dyDescent="0.2">
      <c r="A77" s="40">
        <f t="shared" si="12"/>
        <v>0</v>
      </c>
      <c r="B77" s="74">
        <f t="shared" si="3"/>
        <v>0</v>
      </c>
      <c r="C77" s="74"/>
      <c r="D77" s="74"/>
      <c r="E77" s="74"/>
      <c r="F77" s="74"/>
      <c r="G77" s="129" t="str">
        <f t="shared" si="4"/>
        <v/>
      </c>
      <c r="H77" s="129"/>
      <c r="I77" s="129"/>
      <c r="J77" s="129"/>
      <c r="K77" s="129"/>
      <c r="L77" s="129"/>
      <c r="M77" s="129"/>
      <c r="N77" s="129"/>
      <c r="O77" s="75" t="str">
        <f t="shared" si="10"/>
        <v/>
      </c>
      <c r="P77" s="75"/>
      <c r="Q77" s="75"/>
      <c r="R77" s="125" t="str">
        <f t="shared" si="11"/>
        <v/>
      </c>
      <c r="S77" s="126"/>
      <c r="T77" s="126"/>
      <c r="U77" s="126"/>
      <c r="V77" s="129">
        <f t="shared" si="5"/>
        <v>0</v>
      </c>
      <c r="W77" s="129"/>
      <c r="X77" s="129"/>
      <c r="Y77" s="129"/>
      <c r="Z77" s="127" t="str">
        <f t="shared" si="6"/>
        <v/>
      </c>
      <c r="AA77" s="127"/>
      <c r="AB77" s="70" t="str">
        <f t="shared" si="7"/>
        <v/>
      </c>
      <c r="AC77" s="70"/>
      <c r="AD77" s="137"/>
      <c r="AE77" s="42" t="str">
        <f t="shared" si="13"/>
        <v/>
      </c>
      <c r="AF77" s="138" t="str">
        <f t="shared" si="13"/>
        <v/>
      </c>
      <c r="AG77" s="139"/>
      <c r="AH77" s="42" t="str">
        <f t="shared" si="14"/>
        <v/>
      </c>
      <c r="AI77" s="134" t="str">
        <f t="shared" si="14"/>
        <v/>
      </c>
      <c r="AJ77" s="134"/>
      <c r="AK77" s="135"/>
      <c r="AL77" s="124"/>
      <c r="AM77" s="70"/>
      <c r="AN77" s="70"/>
    </row>
    <row r="78" spans="1:40" ht="35.1" customHeight="1" x14ac:dyDescent="0.2">
      <c r="A78" s="40">
        <f t="shared" si="12"/>
        <v>0</v>
      </c>
      <c r="B78" s="150">
        <f t="shared" si="3"/>
        <v>0</v>
      </c>
      <c r="C78" s="150"/>
      <c r="D78" s="150"/>
      <c r="E78" s="150"/>
      <c r="F78" s="150"/>
      <c r="G78" s="151" t="str">
        <f t="shared" si="4"/>
        <v/>
      </c>
      <c r="H78" s="151"/>
      <c r="I78" s="151"/>
      <c r="J78" s="151"/>
      <c r="K78" s="151"/>
      <c r="L78" s="151"/>
      <c r="M78" s="151"/>
      <c r="N78" s="151"/>
      <c r="O78" s="152" t="str">
        <f t="shared" si="10"/>
        <v/>
      </c>
      <c r="P78" s="152"/>
      <c r="Q78" s="152"/>
      <c r="R78" s="153" t="str">
        <f t="shared" si="11"/>
        <v/>
      </c>
      <c r="S78" s="154"/>
      <c r="T78" s="154"/>
      <c r="U78" s="154"/>
      <c r="V78" s="151" t="str">
        <f t="shared" si="5"/>
        <v/>
      </c>
      <c r="W78" s="151"/>
      <c r="X78" s="151"/>
      <c r="Y78" s="151"/>
      <c r="Z78" s="155" t="str">
        <f t="shared" si="6"/>
        <v/>
      </c>
      <c r="AA78" s="155"/>
      <c r="AB78" s="88" t="str">
        <f t="shared" si="7"/>
        <v/>
      </c>
      <c r="AC78" s="88"/>
      <c r="AD78" s="156"/>
      <c r="AE78" s="43" t="str">
        <f t="shared" si="13"/>
        <v/>
      </c>
      <c r="AF78" s="157">
        <f t="shared" si="13"/>
        <v>0</v>
      </c>
      <c r="AG78" s="158"/>
      <c r="AH78" s="44" t="str">
        <f t="shared" si="14"/>
        <v/>
      </c>
      <c r="AI78" s="159" t="str">
        <f t="shared" si="14"/>
        <v/>
      </c>
      <c r="AJ78" s="159"/>
      <c r="AK78" s="160"/>
      <c r="AL78" s="149"/>
      <c r="AM78" s="88"/>
      <c r="AN78" s="88"/>
    </row>
    <row r="79" spans="1:40" s="20" customFormat="1" ht="15.95" customHeight="1" x14ac:dyDescent="0.25">
      <c r="A79" s="89" t="s">
        <v>43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1"/>
      <c r="O79" s="93" t="s">
        <v>44</v>
      </c>
      <c r="P79" s="93"/>
      <c r="Q79" s="93"/>
      <c r="R79" s="76" t="s">
        <v>45</v>
      </c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 t="s">
        <v>46</v>
      </c>
      <c r="AE79" s="76"/>
      <c r="AF79" s="76"/>
      <c r="AG79" s="76"/>
      <c r="AH79" s="76" t="s">
        <v>47</v>
      </c>
      <c r="AI79" s="76"/>
      <c r="AJ79" s="76"/>
      <c r="AK79" s="76"/>
      <c r="AL79" s="76" t="s">
        <v>48</v>
      </c>
      <c r="AM79" s="93"/>
      <c r="AN79" s="93"/>
    </row>
    <row r="80" spans="1:40" s="24" customFormat="1" ht="12.75" customHeight="1" x14ac:dyDescent="0.2">
      <c r="A80" s="60">
        <f>A37</f>
        <v>0</v>
      </c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2"/>
      <c r="O80" s="113" t="str">
        <f>O37</f>
        <v>J. E</v>
      </c>
      <c r="P80" s="114"/>
      <c r="Q80" s="115"/>
      <c r="R80" s="119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120"/>
      <c r="AE80" s="120"/>
      <c r="AF80" s="120"/>
      <c r="AG80" s="120"/>
      <c r="AH80" s="120"/>
      <c r="AI80" s="120"/>
      <c r="AJ80" s="120"/>
      <c r="AK80" s="120"/>
      <c r="AL80" s="144">
        <f>AH60</f>
        <v>0</v>
      </c>
      <c r="AM80" s="140">
        <f>AM37</f>
        <v>0</v>
      </c>
      <c r="AN80" s="141"/>
    </row>
    <row r="81" spans="1:40" ht="12" customHeight="1" x14ac:dyDescent="0.2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2"/>
      <c r="O81" s="116"/>
      <c r="P81" s="117"/>
      <c r="Q81" s="118"/>
      <c r="R81" s="119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120"/>
      <c r="AE81" s="120"/>
      <c r="AF81" s="120"/>
      <c r="AG81" s="120"/>
      <c r="AH81" s="120"/>
      <c r="AI81" s="120"/>
      <c r="AJ81" s="120"/>
      <c r="AK81" s="120"/>
      <c r="AL81" s="145"/>
      <c r="AM81" s="142"/>
      <c r="AN81" s="143"/>
    </row>
    <row r="82" spans="1:40" ht="12" customHeight="1" x14ac:dyDescent="0.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112"/>
      <c r="O82" s="99">
        <f ca="1">TODAY()</f>
        <v>46107</v>
      </c>
      <c r="P82" s="100"/>
      <c r="Q82" s="101"/>
      <c r="R82" s="119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120"/>
      <c r="AE82" s="120"/>
      <c r="AF82" s="120"/>
      <c r="AG82" s="120"/>
      <c r="AH82" s="120"/>
      <c r="AI82" s="120"/>
      <c r="AJ82" s="120"/>
      <c r="AK82" s="121"/>
      <c r="AL82" s="105">
        <f>AL39</f>
        <v>0</v>
      </c>
      <c r="AM82" s="106"/>
      <c r="AN82" s="107"/>
    </row>
    <row r="83" spans="1:40" ht="12" customHeight="1" x14ac:dyDescent="0.2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112"/>
      <c r="O83" s="102"/>
      <c r="P83" s="103"/>
      <c r="Q83" s="104"/>
      <c r="R83" s="119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120"/>
      <c r="AE83" s="120"/>
      <c r="AF83" s="120"/>
      <c r="AG83" s="120"/>
      <c r="AH83" s="120"/>
      <c r="AI83" s="120"/>
      <c r="AJ83" s="120"/>
      <c r="AK83" s="121"/>
      <c r="AL83" s="108"/>
      <c r="AM83" s="109"/>
      <c r="AN83" s="110"/>
    </row>
    <row r="84" spans="1:40" ht="14.1" customHeight="1" x14ac:dyDescent="0.2">
      <c r="A84" s="3" t="s">
        <v>49</v>
      </c>
      <c r="AN84" s="34" t="str">
        <f>AN41</f>
        <v>DOC. 21 SEPT. '22</v>
      </c>
    </row>
  </sheetData>
  <mergeCells count="446">
    <mergeCell ref="B2:H2"/>
    <mergeCell ref="B44:I45"/>
    <mergeCell ref="AL78:AN78"/>
    <mergeCell ref="A79:N79"/>
    <mergeCell ref="O79:Q79"/>
    <mergeCell ref="R79:AC79"/>
    <mergeCell ref="AD79:AG79"/>
    <mergeCell ref="AH79:AK79"/>
    <mergeCell ref="AL79:AN79"/>
    <mergeCell ref="B78:F78"/>
    <mergeCell ref="G78:N78"/>
    <mergeCell ref="O78:Q78"/>
    <mergeCell ref="R78:U78"/>
    <mergeCell ref="V78:Y78"/>
    <mergeCell ref="Z78:AA78"/>
    <mergeCell ref="AB78:AD78"/>
    <mergeCell ref="AF78:AG78"/>
    <mergeCell ref="AI78:AK78"/>
    <mergeCell ref="AL76:AN76"/>
    <mergeCell ref="B77:F77"/>
    <mergeCell ref="G77:N77"/>
    <mergeCell ref="O77:Q77"/>
    <mergeCell ref="R77:U77"/>
    <mergeCell ref="V77:Y77"/>
    <mergeCell ref="AM80:AN81"/>
    <mergeCell ref="O82:Q83"/>
    <mergeCell ref="AL82:AN83"/>
    <mergeCell ref="A80:N83"/>
    <mergeCell ref="O80:Q81"/>
    <mergeCell ref="R80:AC83"/>
    <mergeCell ref="AD80:AG83"/>
    <mergeCell ref="AH80:AK83"/>
    <mergeCell ref="AL80:AL81"/>
    <mergeCell ref="Z77:AA77"/>
    <mergeCell ref="AB77:AD77"/>
    <mergeCell ref="AF77:AG77"/>
    <mergeCell ref="AI77:AK77"/>
    <mergeCell ref="AL77:AN77"/>
    <mergeCell ref="B76:F76"/>
    <mergeCell ref="G76:N76"/>
    <mergeCell ref="O76:Q76"/>
    <mergeCell ref="R76:U76"/>
    <mergeCell ref="V76:Y76"/>
    <mergeCell ref="Z76:AA76"/>
    <mergeCell ref="AB76:AD76"/>
    <mergeCell ref="AF76:AG76"/>
    <mergeCell ref="AI76:AK76"/>
    <mergeCell ref="AL74:AN74"/>
    <mergeCell ref="B75:F75"/>
    <mergeCell ref="G75:N75"/>
    <mergeCell ref="O75:Q75"/>
    <mergeCell ref="R75:U75"/>
    <mergeCell ref="V75:Y75"/>
    <mergeCell ref="Z75:AA75"/>
    <mergeCell ref="AB75:AD75"/>
    <mergeCell ref="AF75:AG75"/>
    <mergeCell ref="AI75:AK75"/>
    <mergeCell ref="AL75:AN75"/>
    <mergeCell ref="B74:F74"/>
    <mergeCell ref="G74:N74"/>
    <mergeCell ref="O74:Q74"/>
    <mergeCell ref="R74:U74"/>
    <mergeCell ref="V74:Y74"/>
    <mergeCell ref="Z74:AA74"/>
    <mergeCell ref="AB74:AD74"/>
    <mergeCell ref="AF74:AG74"/>
    <mergeCell ref="AI74:AK74"/>
    <mergeCell ref="AL72:AN72"/>
    <mergeCell ref="B73:F73"/>
    <mergeCell ref="G73:N73"/>
    <mergeCell ref="O73:Q73"/>
    <mergeCell ref="R73:U73"/>
    <mergeCell ref="V73:Y73"/>
    <mergeCell ref="Z73:AA73"/>
    <mergeCell ref="AB73:AD73"/>
    <mergeCell ref="AF73:AG73"/>
    <mergeCell ref="AI73:AK73"/>
    <mergeCell ref="AL73:AN73"/>
    <mergeCell ref="B72:F72"/>
    <mergeCell ref="G72:N72"/>
    <mergeCell ref="O72:Q72"/>
    <mergeCell ref="R72:U72"/>
    <mergeCell ref="V72:Y72"/>
    <mergeCell ref="Z72:AA72"/>
    <mergeCell ref="AB72:AD72"/>
    <mergeCell ref="AF72:AG72"/>
    <mergeCell ref="AI72:AK72"/>
    <mergeCell ref="AL70:AN70"/>
    <mergeCell ref="B71:F71"/>
    <mergeCell ref="G71:N71"/>
    <mergeCell ref="O71:Q71"/>
    <mergeCell ref="R71:U71"/>
    <mergeCell ref="V71:Y71"/>
    <mergeCell ref="Z71:AA71"/>
    <mergeCell ref="AB71:AD71"/>
    <mergeCell ref="AF71:AG71"/>
    <mergeCell ref="AI71:AK71"/>
    <mergeCell ref="AL71:AN71"/>
    <mergeCell ref="B70:F70"/>
    <mergeCell ref="G70:N70"/>
    <mergeCell ref="O70:Q70"/>
    <mergeCell ref="R70:U70"/>
    <mergeCell ref="V70:Y70"/>
    <mergeCell ref="Z70:AA70"/>
    <mergeCell ref="AB70:AD70"/>
    <mergeCell ref="AF70:AG70"/>
    <mergeCell ref="AI70:AK70"/>
    <mergeCell ref="AL68:AN68"/>
    <mergeCell ref="B69:F69"/>
    <mergeCell ref="G69:N69"/>
    <mergeCell ref="O69:Q69"/>
    <mergeCell ref="R69:U69"/>
    <mergeCell ref="V69:Y69"/>
    <mergeCell ref="Z69:AA69"/>
    <mergeCell ref="AB69:AD69"/>
    <mergeCell ref="AF69:AG69"/>
    <mergeCell ref="AI69:AK69"/>
    <mergeCell ref="AL69:AN69"/>
    <mergeCell ref="B68:F68"/>
    <mergeCell ref="G68:N68"/>
    <mergeCell ref="O68:Q68"/>
    <mergeCell ref="R68:U68"/>
    <mergeCell ref="V68:Y68"/>
    <mergeCell ref="Z68:AA68"/>
    <mergeCell ref="AB68:AD68"/>
    <mergeCell ref="AF68:AG68"/>
    <mergeCell ref="AI68:AK68"/>
    <mergeCell ref="AL66:AN66"/>
    <mergeCell ref="B67:F67"/>
    <mergeCell ref="G67:N67"/>
    <mergeCell ref="O67:Q67"/>
    <mergeCell ref="R67:U67"/>
    <mergeCell ref="V67:Y67"/>
    <mergeCell ref="Z67:AA67"/>
    <mergeCell ref="AB67:AD67"/>
    <mergeCell ref="AF67:AG67"/>
    <mergeCell ref="AI67:AK67"/>
    <mergeCell ref="AL67:AN67"/>
    <mergeCell ref="B66:F66"/>
    <mergeCell ref="G66:N66"/>
    <mergeCell ref="O66:Q66"/>
    <mergeCell ref="R66:U66"/>
    <mergeCell ref="V66:Y66"/>
    <mergeCell ref="Z66:AA66"/>
    <mergeCell ref="AB66:AD66"/>
    <mergeCell ref="AF66:AG66"/>
    <mergeCell ref="AI66:AK66"/>
    <mergeCell ref="AL64:AN64"/>
    <mergeCell ref="B65:F65"/>
    <mergeCell ref="G65:N65"/>
    <mergeCell ref="O65:Q65"/>
    <mergeCell ref="R65:U65"/>
    <mergeCell ref="V65:Y65"/>
    <mergeCell ref="Z65:AA65"/>
    <mergeCell ref="AB65:AD65"/>
    <mergeCell ref="AF65:AG65"/>
    <mergeCell ref="AI65:AK65"/>
    <mergeCell ref="AL65:AN65"/>
    <mergeCell ref="B64:F64"/>
    <mergeCell ref="G64:N64"/>
    <mergeCell ref="O64:Q64"/>
    <mergeCell ref="R64:U64"/>
    <mergeCell ref="V64:Y64"/>
    <mergeCell ref="Z64:AA64"/>
    <mergeCell ref="AB64:AD64"/>
    <mergeCell ref="AF64:AG64"/>
    <mergeCell ref="AI64:AK64"/>
    <mergeCell ref="AL62:AN62"/>
    <mergeCell ref="B63:F63"/>
    <mergeCell ref="G63:N63"/>
    <mergeCell ref="O63:Q63"/>
    <mergeCell ref="R63:U63"/>
    <mergeCell ref="V63:Y63"/>
    <mergeCell ref="Z63:AA63"/>
    <mergeCell ref="AB63:AD63"/>
    <mergeCell ref="AF63:AG63"/>
    <mergeCell ref="AI63:AK63"/>
    <mergeCell ref="AL63:AN63"/>
    <mergeCell ref="B62:F62"/>
    <mergeCell ref="G62:N62"/>
    <mergeCell ref="O62:Q62"/>
    <mergeCell ref="R62:U62"/>
    <mergeCell ref="V62:Y62"/>
    <mergeCell ref="Z62:AA62"/>
    <mergeCell ref="AB62:AD62"/>
    <mergeCell ref="AF62:AG62"/>
    <mergeCell ref="AI62:AK62"/>
    <mergeCell ref="AL60:AN60"/>
    <mergeCell ref="B61:F61"/>
    <mergeCell ref="G61:N61"/>
    <mergeCell ref="O61:Q61"/>
    <mergeCell ref="R61:U61"/>
    <mergeCell ref="V61:Y61"/>
    <mergeCell ref="Z61:AA61"/>
    <mergeCell ref="AB61:AD61"/>
    <mergeCell ref="AF61:AG61"/>
    <mergeCell ref="AI61:AK61"/>
    <mergeCell ref="AL61:AN61"/>
    <mergeCell ref="B60:F60"/>
    <mergeCell ref="G60:N60"/>
    <mergeCell ref="O60:Q60"/>
    <mergeCell ref="R60:U60"/>
    <mergeCell ref="V60:Y60"/>
    <mergeCell ref="Z60:AA60"/>
    <mergeCell ref="AB60:AD60"/>
    <mergeCell ref="AF60:AG60"/>
    <mergeCell ref="AI60:AK60"/>
    <mergeCell ref="D50:M50"/>
    <mergeCell ref="AG50:AL50"/>
    <mergeCell ref="A54:AN54"/>
    <mergeCell ref="A55:A59"/>
    <mergeCell ref="B55:F59"/>
    <mergeCell ref="G55:N59"/>
    <mergeCell ref="O55:Q59"/>
    <mergeCell ref="R55:U59"/>
    <mergeCell ref="V55:Y59"/>
    <mergeCell ref="Z55:AA59"/>
    <mergeCell ref="AB55:AD59"/>
    <mergeCell ref="AE55:AG59"/>
    <mergeCell ref="AH55:AK59"/>
    <mergeCell ref="AL55:AN59"/>
    <mergeCell ref="AM37:AN38"/>
    <mergeCell ref="O39:Q40"/>
    <mergeCell ref="AL39:AN40"/>
    <mergeCell ref="A46:AN46"/>
    <mergeCell ref="F49:M49"/>
    <mergeCell ref="AG49:AL49"/>
    <mergeCell ref="A37:N40"/>
    <mergeCell ref="O37:Q38"/>
    <mergeCell ref="R37:AC40"/>
    <mergeCell ref="AD37:AG40"/>
    <mergeCell ref="AH37:AK40"/>
    <mergeCell ref="AL37:AL38"/>
    <mergeCell ref="O33:Q33"/>
    <mergeCell ref="R33:U33"/>
    <mergeCell ref="V33:Y33"/>
    <mergeCell ref="AB35:AD35"/>
    <mergeCell ref="AF35:AG35"/>
    <mergeCell ref="AI35:AK35"/>
    <mergeCell ref="AL35:AN35"/>
    <mergeCell ref="A36:N36"/>
    <mergeCell ref="O36:Q36"/>
    <mergeCell ref="R36:AC36"/>
    <mergeCell ref="AD36:AG36"/>
    <mergeCell ref="AH36:AK36"/>
    <mergeCell ref="AL36:AN36"/>
    <mergeCell ref="B35:F35"/>
    <mergeCell ref="G35:N35"/>
    <mergeCell ref="O35:Q35"/>
    <mergeCell ref="R35:U35"/>
    <mergeCell ref="V35:Y35"/>
    <mergeCell ref="Z35:AA35"/>
    <mergeCell ref="AI31:AK31"/>
    <mergeCell ref="Z33:AA33"/>
    <mergeCell ref="AB33:AD33"/>
    <mergeCell ref="AF33:AG33"/>
    <mergeCell ref="AI33:AK33"/>
    <mergeCell ref="AL29:AN29"/>
    <mergeCell ref="B34:F34"/>
    <mergeCell ref="G34:N34"/>
    <mergeCell ref="O34:Q34"/>
    <mergeCell ref="R34:U34"/>
    <mergeCell ref="V34:Y34"/>
    <mergeCell ref="Z34:AA34"/>
    <mergeCell ref="AL33:AN33"/>
    <mergeCell ref="Z32:AA32"/>
    <mergeCell ref="AB32:AD32"/>
    <mergeCell ref="AF32:AG32"/>
    <mergeCell ref="AI32:AK32"/>
    <mergeCell ref="AL32:AN32"/>
    <mergeCell ref="AB34:AD34"/>
    <mergeCell ref="AF34:AG34"/>
    <mergeCell ref="AI34:AK34"/>
    <mergeCell ref="AL34:AN34"/>
    <mergeCell ref="B33:F33"/>
    <mergeCell ref="G33:N33"/>
    <mergeCell ref="B30:F30"/>
    <mergeCell ref="G30:N30"/>
    <mergeCell ref="O30:Q30"/>
    <mergeCell ref="R30:U30"/>
    <mergeCell ref="V30:Y30"/>
    <mergeCell ref="AL31:AN31"/>
    <mergeCell ref="B32:F32"/>
    <mergeCell ref="G32:N32"/>
    <mergeCell ref="O32:Q32"/>
    <mergeCell ref="R32:U32"/>
    <mergeCell ref="V32:Y32"/>
    <mergeCell ref="Z30:AA30"/>
    <mergeCell ref="AB30:AD30"/>
    <mergeCell ref="AF30:AG30"/>
    <mergeCell ref="AI30:AK30"/>
    <mergeCell ref="AL30:AN30"/>
    <mergeCell ref="B31:F31"/>
    <mergeCell ref="G31:N31"/>
    <mergeCell ref="O31:Q31"/>
    <mergeCell ref="R31:U31"/>
    <mergeCell ref="V31:Y31"/>
    <mergeCell ref="Z31:AA31"/>
    <mergeCell ref="AB31:AD31"/>
    <mergeCell ref="AF31:AG31"/>
    <mergeCell ref="B29:F29"/>
    <mergeCell ref="G29:N29"/>
    <mergeCell ref="O29:Q29"/>
    <mergeCell ref="R29:U29"/>
    <mergeCell ref="V29:Y29"/>
    <mergeCell ref="Z29:AA29"/>
    <mergeCell ref="AB29:AD29"/>
    <mergeCell ref="AF29:AG29"/>
    <mergeCell ref="AI29:AK29"/>
    <mergeCell ref="AL27:AN27"/>
    <mergeCell ref="B28:F28"/>
    <mergeCell ref="G28:N28"/>
    <mergeCell ref="O28:Q28"/>
    <mergeCell ref="R28:U28"/>
    <mergeCell ref="V28:Y28"/>
    <mergeCell ref="Z28:AA28"/>
    <mergeCell ref="AB28:AD28"/>
    <mergeCell ref="AF28:AG28"/>
    <mergeCell ref="AI28:AK28"/>
    <mergeCell ref="AL28:AN28"/>
    <mergeCell ref="B27:F27"/>
    <mergeCell ref="G27:N27"/>
    <mergeCell ref="O27:Q27"/>
    <mergeCell ref="R27:U27"/>
    <mergeCell ref="V27:Y27"/>
    <mergeCell ref="Z27:AA27"/>
    <mergeCell ref="AB27:AD27"/>
    <mergeCell ref="AF27:AG27"/>
    <mergeCell ref="AI27:AK27"/>
    <mergeCell ref="AL25:AN25"/>
    <mergeCell ref="B26:F26"/>
    <mergeCell ref="G26:N26"/>
    <mergeCell ref="O26:Q26"/>
    <mergeCell ref="R26:U26"/>
    <mergeCell ref="V26:Y26"/>
    <mergeCell ref="Z26:AA26"/>
    <mergeCell ref="AB26:AD26"/>
    <mergeCell ref="AF26:AG26"/>
    <mergeCell ref="AI26:AK26"/>
    <mergeCell ref="AL26:AN26"/>
    <mergeCell ref="B25:F25"/>
    <mergeCell ref="G25:N25"/>
    <mergeCell ref="O25:Q25"/>
    <mergeCell ref="R25:U25"/>
    <mergeCell ref="V25:Y25"/>
    <mergeCell ref="Z25:AA25"/>
    <mergeCell ref="AB25:AD25"/>
    <mergeCell ref="AF25:AG25"/>
    <mergeCell ref="AI25:AK25"/>
    <mergeCell ref="AL23:AN23"/>
    <mergeCell ref="B24:F24"/>
    <mergeCell ref="G24:N24"/>
    <mergeCell ref="O24:Q24"/>
    <mergeCell ref="R24:U24"/>
    <mergeCell ref="V24:Y24"/>
    <mergeCell ref="Z24:AA24"/>
    <mergeCell ref="AB24:AD24"/>
    <mergeCell ref="AF24:AG24"/>
    <mergeCell ref="AI24:AK24"/>
    <mergeCell ref="AL24:AN24"/>
    <mergeCell ref="B23:F23"/>
    <mergeCell ref="G23:N23"/>
    <mergeCell ref="O23:Q23"/>
    <mergeCell ref="R23:U23"/>
    <mergeCell ref="V23:Y23"/>
    <mergeCell ref="Z23:AA23"/>
    <mergeCell ref="AB23:AD23"/>
    <mergeCell ref="AF23:AG23"/>
    <mergeCell ref="AI23:AK23"/>
    <mergeCell ref="AL21:AN21"/>
    <mergeCell ref="B22:F22"/>
    <mergeCell ref="G22:N22"/>
    <mergeCell ref="O22:Q22"/>
    <mergeCell ref="R22:U22"/>
    <mergeCell ref="V22:Y22"/>
    <mergeCell ref="Z22:AA22"/>
    <mergeCell ref="AB22:AD22"/>
    <mergeCell ref="AF22:AG22"/>
    <mergeCell ref="AI22:AK22"/>
    <mergeCell ref="AL22:AN22"/>
    <mergeCell ref="B21:F21"/>
    <mergeCell ref="G21:N21"/>
    <mergeCell ref="O21:Q21"/>
    <mergeCell ref="R21:U21"/>
    <mergeCell ref="V21:Y21"/>
    <mergeCell ref="Z21:AA21"/>
    <mergeCell ref="AB21:AD21"/>
    <mergeCell ref="AF21:AG21"/>
    <mergeCell ref="AI21:AK21"/>
    <mergeCell ref="AL19:AN19"/>
    <mergeCell ref="B20:F20"/>
    <mergeCell ref="G20:N20"/>
    <mergeCell ref="O20:Q20"/>
    <mergeCell ref="R20:U20"/>
    <mergeCell ref="V20:Y20"/>
    <mergeCell ref="Z20:AA20"/>
    <mergeCell ref="AB20:AD20"/>
    <mergeCell ref="AF20:AG20"/>
    <mergeCell ref="AI20:AK20"/>
    <mergeCell ref="AL20:AN20"/>
    <mergeCell ref="B19:F19"/>
    <mergeCell ref="G19:N19"/>
    <mergeCell ref="O19:Q19"/>
    <mergeCell ref="R19:U19"/>
    <mergeCell ref="V19:Y19"/>
    <mergeCell ref="Z19:AA19"/>
    <mergeCell ref="AB19:AD19"/>
    <mergeCell ref="AF19:AG19"/>
    <mergeCell ref="AI19:AK19"/>
    <mergeCell ref="AL17:AN17"/>
    <mergeCell ref="B18:F18"/>
    <mergeCell ref="G18:N18"/>
    <mergeCell ref="O18:Q18"/>
    <mergeCell ref="R18:U18"/>
    <mergeCell ref="V18:Y18"/>
    <mergeCell ref="Z18:AA18"/>
    <mergeCell ref="AB18:AD18"/>
    <mergeCell ref="AF18:AG18"/>
    <mergeCell ref="AI18:AK18"/>
    <mergeCell ref="AL18:AN18"/>
    <mergeCell ref="B17:F17"/>
    <mergeCell ref="G17:N17"/>
    <mergeCell ref="O17:Q17"/>
    <mergeCell ref="R17:U17"/>
    <mergeCell ref="V17:Y17"/>
    <mergeCell ref="Z17:AA17"/>
    <mergeCell ref="AB17:AD17"/>
    <mergeCell ref="AF17:AG17"/>
    <mergeCell ref="AI17:AK17"/>
    <mergeCell ref="A12:A16"/>
    <mergeCell ref="B12:F16"/>
    <mergeCell ref="G12:N16"/>
    <mergeCell ref="O12:Q16"/>
    <mergeCell ref="R12:U16"/>
    <mergeCell ref="V12:Y16"/>
    <mergeCell ref="A3:AN3"/>
    <mergeCell ref="F6:M6"/>
    <mergeCell ref="AG6:AL6"/>
    <mergeCell ref="D7:M7"/>
    <mergeCell ref="AG7:AL7"/>
    <mergeCell ref="A11:AN11"/>
    <mergeCell ref="Z12:AA16"/>
    <mergeCell ref="AB12:AD16"/>
    <mergeCell ref="AE12:AG16"/>
    <mergeCell ref="AH12:AK16"/>
    <mergeCell ref="AL12:AN16"/>
  </mergeCells>
  <conditionalFormatting sqref="D7">
    <cfRule type="expression" dxfId="4" priority="1" stopIfTrue="1">
      <formula>$U7="CANCELED"</formula>
    </cfRule>
  </conditionalFormatting>
  <conditionalFormatting sqref="O17:O35">
    <cfRule type="cellIs" dxfId="3" priority="2" stopIfTrue="1" operator="equal">
      <formula>#VALUE!</formula>
    </cfRule>
    <cfRule type="cellIs" dxfId="2" priority="3" stopIfTrue="1" operator="equal">
      <formula>0</formula>
    </cfRule>
  </conditionalFormatting>
  <conditionalFormatting sqref="AG49:AL50 O60:U61 A60:A78 O62:V78 B71:F78">
    <cfRule type="cellIs" dxfId="1" priority="4" stopIfTrue="1" operator="equal">
      <formula>0</formula>
    </cfRule>
  </conditionalFormatting>
  <conditionalFormatting sqref="AS17">
    <cfRule type="cellIs" dxfId="0" priority="5" stopIfTrue="1" operator="between">
      <formula>"AB,FF,OE,OSE"</formula>
      <formula>"AB,FF,OE,OSE"</formula>
    </cfRule>
  </conditionalFormatting>
  <dataValidations count="2">
    <dataValidation type="list" allowBlank="1" showInputMessage="1" showErrorMessage="1" sqref="AQ7:AQ8">
      <formula1>$AQ$7:$AQ$8</formula1>
    </dataValidation>
    <dataValidation type="list" allowBlank="1" showInputMessage="1" showErrorMessage="1" sqref="O37 O80 P37:S38 P80:S81">
      <formula1>$BE$6:$BE$8</formula1>
    </dataValidation>
  </dataValidations>
  <printOptions horizontalCentered="1"/>
  <pageMargins left="0" right="0" top="0" bottom="0" header="0" footer="0"/>
  <pageSetup paperSize="9" scale="42" firstPageNumber="0" orientation="portrait" useFirstPageNumber="1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PRS FORM</vt:lpstr>
      <vt:lpstr>'PRS FORM'!Print_Area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Parra</dc:creator>
  <cp:lastModifiedBy>Bisita</cp:lastModifiedBy>
  <cp:lastPrinted>2026-03-18T07:11:31Z</cp:lastPrinted>
  <dcterms:created xsi:type="dcterms:W3CDTF">2026-03-13T00:30:25Z</dcterms:created>
  <dcterms:modified xsi:type="dcterms:W3CDTF">2026-03-26T06:24:54Z</dcterms:modified>
</cp:coreProperties>
</file>