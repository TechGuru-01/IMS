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OJTProject\"/>
    </mc:Choice>
  </mc:AlternateContent>
  <bookViews>
    <workbookView xWindow="0" yWindow="0" windowWidth="12450" windowHeight="6600"/>
  </bookViews>
  <sheets>
    <sheet name="PRS FORM" sheetId="1" r:id="rId1"/>
    <sheet name="BINCARD FORM" sheetId="2" r:id="rId2"/>
  </sheets>
  <definedNames>
    <definedName name="AprStart">WEEKDAY(DATE(Year,4,1))</definedName>
    <definedName name="AugStart">WEEKDAY(DATE(Year,8,1))</definedName>
    <definedName name="DecStart">WEEKDAY(DATE(Year,12,1))</definedName>
    <definedName name="Excel_BuiltIn_Print_Area_3" localSheetId="0">#REF!</definedName>
    <definedName name="FebStart">WEEKDAY(DATE(Year,2,1))</definedName>
    <definedName name="IsLeapYear">OR(MOD(Year,400)=0,AND(MOD(Year,4)=0,MOD(Year,100)&lt;&gt;0))</definedName>
    <definedName name="JanStart">WEEKDAY(DATE(Year,1,1))</definedName>
    <definedName name="JulStart">WEEKDAY(DATE(Year,7,1))</definedName>
    <definedName name="JunStart">WEEKDAY(DATE(Year,6,1))</definedName>
    <definedName name="MarStart">WEEKDAY(DATE(Year,3,1))</definedName>
    <definedName name="MayStart">WEEKDAY(DATE(Year,5,1))</definedName>
    <definedName name="NovStart">WEEKDAY(DATE(Year,11,1))</definedName>
    <definedName name="OctStart">WEEKDAY(DATE(Year,10,1))</definedName>
    <definedName name="_xlnm.Print_Area" localSheetId="0">'PRS FORM'!$A$1:$AN$84</definedName>
    <definedName name="SepStart">WEEKDAY(DATE(Year,9,1))</definedName>
  </definedNames>
  <calcPr calcId="152511"/>
  <fileRecoveryPr repairLoad="1"/>
</workbook>
</file>

<file path=xl/calcChain.xml><?xml version="1.0" encoding="utf-8"?>
<calcChain xmlns="http://schemas.openxmlformats.org/spreadsheetml/2006/main">
  <c r="M15" i="2" l="1"/>
  <c r="M14" i="2"/>
  <c r="N5" i="2"/>
  <c r="M5" i="2"/>
  <c r="L5" i="2"/>
  <c r="O39" i="1"/>
  <c r="AG6" i="1" s="1"/>
  <c r="AQ35" i="1"/>
  <c r="AO35" i="1"/>
  <c r="AO34" i="1"/>
  <c r="AQ33" i="1"/>
  <c r="AO33" i="1"/>
  <c r="AQ32" i="1"/>
  <c r="AO32" i="1"/>
  <c r="AQ31" i="1"/>
  <c r="AO31" i="1"/>
  <c r="AQ30" i="1"/>
  <c r="AO30" i="1"/>
  <c r="AQ29" i="1"/>
  <c r="AO29" i="1"/>
  <c r="AQ28" i="1"/>
  <c r="AO28" i="1"/>
  <c r="AQ27" i="1"/>
  <c r="AO27" i="1"/>
  <c r="AQ26" i="1"/>
  <c r="AO26" i="1"/>
  <c r="AQ25" i="1"/>
  <c r="AO25" i="1"/>
  <c r="AQ24" i="1"/>
  <c r="AO24" i="1"/>
  <c r="AQ23" i="1"/>
  <c r="AO23" i="1"/>
  <c r="AQ22" i="1"/>
  <c r="AO22" i="1"/>
  <c r="AQ21" i="1"/>
  <c r="AO21" i="1"/>
  <c r="AQ20" i="1"/>
  <c r="AO20" i="1"/>
  <c r="AQ19" i="1"/>
  <c r="AO19" i="1"/>
  <c r="AQ18" i="1"/>
  <c r="AO18" i="1"/>
  <c r="AU17" i="1"/>
  <c r="AR17" i="1"/>
  <c r="AQ17" i="1"/>
  <c r="AO17" i="1"/>
</calcChain>
</file>

<file path=xl/comments1.xml><?xml version="1.0" encoding="utf-8"?>
<comments xmlns="http://schemas.openxmlformats.org/spreadsheetml/2006/main">
  <authors>
    <author>j.e. porcadas</author>
  </authors>
  <commentList>
    <comment ref="H10" authorId="0" shapeId="0">
      <text>
        <r>
          <rPr>
            <b/>
            <sz val="9"/>
            <color rgb="FF000000"/>
            <rFont val="Tahoma"/>
            <family val="2"/>
          </rPr>
          <t>GOLD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<sst xmlns="http://schemas.openxmlformats.org/spreadsheetml/2006/main" count="98" uniqueCount="77">
  <si>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</si>
  <si>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PURCHASE REQUISITION SHEET</t>
  </si>
  <si>
    <r>
      <t xml:space="preserve">Rev. No.:  </t>
    </r>
    <r>
      <rPr>
        <u/>
        <sz val="15"/>
        <color rgb="FF000000"/>
        <rFont val="Arial"/>
      </rPr>
      <t>07</t>
    </r>
  </si>
  <si>
    <r>
      <t xml:space="preserve"> Page No.: </t>
    </r>
    <r>
      <rPr>
        <u/>
        <sz val="20"/>
        <color rgb="FF000000"/>
        <rFont val="Arial"/>
      </rPr>
      <t xml:space="preserve"> 1  /  1</t>
    </r>
  </si>
  <si>
    <t xml:space="preserve">    </t>
  </si>
  <si>
    <t>Attention</t>
  </si>
  <si>
    <t>DATE NEEDED :</t>
  </si>
  <si>
    <t>REFERENCE NO. :</t>
  </si>
  <si>
    <t>DEPT./SECTION :</t>
  </si>
  <si>
    <t>POD-JIG</t>
  </si>
  <si>
    <t>✔</t>
  </si>
  <si>
    <t xml:space="preserve">TYPE OF REQUISITION: </t>
  </si>
  <si>
    <t xml:space="preserve"> </t>
  </si>
  <si>
    <t>✖</t>
  </si>
  <si>
    <t>ITEM NO.</t>
  </si>
  <si>
    <t>MATERIAL NAME</t>
  </si>
  <si>
    <t>DESCRIPTION</t>
  </si>
  <si>
    <t>TYPE OF REQUISITION</t>
  </si>
  <si>
    <t>Put mark to identify if this item has direct contact to RM / FG</t>
  </si>
  <si>
    <t>MAKER</t>
  </si>
  <si>
    <t xml:space="preserve">QTY
</t>
  </si>
  <si>
    <t>UOM</t>
  </si>
  <si>
    <t xml:space="preserve">UNIT </t>
  </si>
  <si>
    <t>TOTAL
AMOUNT</t>
  </si>
  <si>
    <t>Estimated Time of Arrival</t>
  </si>
  <si>
    <t>Abbreviation</t>
  </si>
  <si>
    <t>Administrative &amp; Benefits</t>
  </si>
  <si>
    <t>AB, FF,OE,OSE</t>
  </si>
  <si>
    <t xml:space="preserve">   </t>
  </si>
  <si>
    <t>Furniture &amp; Fixtures</t>
  </si>
  <si>
    <t>Office Equipment</t>
  </si>
  <si>
    <t>Office Supplies Expense</t>
  </si>
  <si>
    <t>Applicator</t>
  </si>
  <si>
    <t>APL,APS,ME,MPS,MS,PM,RM,TE</t>
  </si>
  <si>
    <t>Applicator Parts And Supplies</t>
  </si>
  <si>
    <t>Machinery &amp; Equipment</t>
  </si>
  <si>
    <t>Maintenance Parts &amp; Supplies</t>
  </si>
  <si>
    <t>Manufacturing Supplies</t>
  </si>
  <si>
    <t>Packaging Materials</t>
  </si>
  <si>
    <t>Repair &amp; Maintenance</t>
  </si>
  <si>
    <t>Tools and Equipment</t>
  </si>
  <si>
    <t>AB,FF,OE,OSE</t>
  </si>
  <si>
    <t>`</t>
  </si>
  <si>
    <t xml:space="preserve">Remarks : </t>
  </si>
  <si>
    <t>Prepared</t>
  </si>
  <si>
    <t>Checked</t>
  </si>
  <si>
    <t>Approved</t>
  </si>
  <si>
    <t>Received</t>
  </si>
  <si>
    <t>TOTAL</t>
  </si>
  <si>
    <t>J. E</t>
  </si>
  <si>
    <t>Q03FC-0004</t>
  </si>
  <si>
    <t>DOC. 21 SEPT. '22</t>
  </si>
  <si>
    <t>IN</t>
  </si>
  <si>
    <t>OUT</t>
  </si>
  <si>
    <t>STOCK ON HAND</t>
  </si>
  <si>
    <t>LM &amp; JIG MATERIAL BINCARD</t>
  </si>
  <si>
    <r>
      <t xml:space="preserve">Rev. No.: </t>
    </r>
    <r>
      <rPr>
        <u/>
        <sz val="10"/>
        <color rgb="FF000000"/>
        <rFont val="Arial"/>
      </rPr>
      <t>01</t>
    </r>
  </si>
  <si>
    <t xml:space="preserve"> MATERIAL NAME:</t>
  </si>
  <si>
    <t>FITTINGS</t>
  </si>
  <si>
    <t xml:space="preserve"> DESCRIPTION:</t>
  </si>
  <si>
    <t>PC6-M10*1.25</t>
  </si>
  <si>
    <t>Transaction Date
(mm-dd-yy)</t>
  </si>
  <si>
    <t>Qty
IN</t>
  </si>
  <si>
    <t>PERSON
IN-CHARGE</t>
  </si>
  <si>
    <t>Qty
OUT</t>
  </si>
  <si>
    <t xml:space="preserve">PERSON
IN-CHARGE </t>
  </si>
  <si>
    <t>CUSTOMER</t>
  </si>
  <si>
    <t>JIG EQUIPMENT</t>
  </si>
  <si>
    <t>Total
Balance
Qty.</t>
  </si>
  <si>
    <t>REMARKS</t>
  </si>
  <si>
    <t>JE</t>
  </si>
  <si>
    <t>MERVIN</t>
  </si>
  <si>
    <t>SEARS</t>
  </si>
  <si>
    <t>INSERTION JIG</t>
  </si>
  <si>
    <t>Q17FC-0139</t>
  </si>
  <si>
    <t>DOC. 14 NOV. '18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</si>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</sst>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₱-464]#,##0.00"/>
  </numFmts>
  <fonts count="35">
    <font>
      <sz val="11"/>
      <color theme="1"/>
      <name val="Calibri"/>
      <scheme val="minor"/>
    </font>
    <font>
      <sz val="10"/>
      <color rgb="FF000000"/>
      <name val="Arial"/>
    </font>
    <font>
      <b/>
      <sz val="10"/>
      <color rgb="FF000000"/>
      <name val="Arial"/>
    </font>
    <font>
      <b/>
      <sz val="10.5"/>
      <color rgb="FF000000"/>
      <name val="Californian FB"/>
    </font>
    <font>
      <sz val="10"/>
      <color theme="1"/>
      <name val="Arial"/>
    </font>
    <font>
      <sz val="12"/>
      <color rgb="FF000000"/>
      <name val="Arial"/>
    </font>
    <font>
      <sz val="10"/>
      <color rgb="FF000000"/>
      <name val="Californian FB"/>
    </font>
    <font>
      <sz val="8"/>
      <color theme="0"/>
      <name val="Arial"/>
    </font>
    <font>
      <sz val="8"/>
      <color rgb="FF000000"/>
      <name val="Arial"/>
    </font>
    <font>
      <sz val="15"/>
      <color rgb="FF000000"/>
      <name val="Arial"/>
    </font>
    <font>
      <sz val="20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rgb="FF000000"/>
      <name val="Segoe UI Symbol"/>
    </font>
    <font>
      <sz val="14"/>
      <color rgb="FF000000"/>
      <name val="Arial"/>
    </font>
    <font>
      <b/>
      <sz val="14"/>
      <color rgb="FF000000"/>
      <name val="Arial"/>
    </font>
    <font>
      <b/>
      <sz val="8"/>
      <color theme="1"/>
      <name val="Arial Narrow"/>
    </font>
    <font>
      <sz val="8"/>
      <color theme="1"/>
      <name val="Arial Narrow"/>
    </font>
    <font>
      <b/>
      <sz val="15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b/>
      <sz val="13"/>
      <color rgb="FF000000"/>
      <name val="Arial"/>
    </font>
    <font>
      <b/>
      <i/>
      <sz val="13"/>
      <color rgb="FF000000"/>
      <name val="Arial"/>
    </font>
    <font>
      <b/>
      <sz val="12"/>
      <color theme="1"/>
      <name val="Arial"/>
    </font>
    <font>
      <b/>
      <u/>
      <sz val="15"/>
      <color rgb="FF0000FF"/>
      <name val="Arial"/>
    </font>
    <font>
      <b/>
      <sz val="11"/>
      <color theme="1"/>
      <name val="Arial"/>
    </font>
    <font>
      <b/>
      <sz val="15"/>
      <color rgb="FF000000"/>
      <name val="Times New Roman"/>
    </font>
    <font>
      <sz val="7"/>
      <color rgb="FF000000"/>
      <name val="Arial"/>
    </font>
    <font>
      <sz val="10.5"/>
      <color rgb="FF000000"/>
      <name val="Arial"/>
    </font>
    <font>
      <u/>
      <sz val="15"/>
      <color rgb="FF000000"/>
      <name val="Arial"/>
    </font>
    <font>
      <u/>
      <sz val="20"/>
      <color rgb="FF000000"/>
      <name val="Arial"/>
    </font>
    <font>
      <u/>
      <sz val="10"/>
      <color rgb="FF000000"/>
      <name val="Arial"/>
    </font>
    <font>
      <sz val="8"/>
      <color rgb="FF000000"/>
      <name val="Segoe U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3300"/>
      </patternFill>
    </fill>
  </fills>
  <borders count="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/>
    <xf numFmtId="0" fontId="1" fillId="0" borderId="0" xfId="0" applyFont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3" fillId="0" borderId="11" xfId="0" applyFont="1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3" fillId="0" borderId="12" xfId="0" applyFont="1" applyBorder="1" applyAlignment="1">
      <alignment vertical="center"/>
    </xf>
    <xf numFmtId="14" fontId="1" fillId="0" borderId="13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/>
    </xf>
    <xf numFmtId="14" fontId="1" fillId="0" borderId="19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4" fontId="1" fillId="0" borderId="19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1" xfId="0" applyFont="1" applyBorder="1"/>
    <xf numFmtId="0" fontId="0" fillId="0" borderId="12" xfId="0" applyBorder="1" applyAlignment="1">
      <alignment horizontal="right" vertical="center"/>
    </xf>
    <xf numFmtId="21" fontId="7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1" fillId="0" borderId="0" xfId="0" applyFont="1"/>
    <xf numFmtId="0" fontId="8" fillId="0" borderId="0" xfId="0" applyFont="1" applyAlignment="1">
      <alignment vertical="top"/>
    </xf>
    <xf numFmtId="0" fontId="8" fillId="0" borderId="0" xfId="0" applyFont="1" applyAlignment="1">
      <alignment horizontal="left" vertical="top"/>
    </xf>
    <xf numFmtId="14" fontId="1" fillId="0" borderId="0" xfId="0" applyNumberFormat="1" applyFont="1"/>
    <xf numFmtId="0" fontId="9" fillId="0" borderId="0" xfId="0" applyFont="1"/>
    <xf numFmtId="0" fontId="10" fillId="0" borderId="0" xfId="0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5" fillId="0" borderId="2" xfId="0" applyFont="1" applyBorder="1" applyAlignment="1">
      <alignment horizontal="left"/>
    </xf>
    <xf numFmtId="0" fontId="1" fillId="0" borderId="20" xfId="0" applyFont="1" applyBorder="1"/>
    <xf numFmtId="0" fontId="1" fillId="0" borderId="6" xfId="0" applyFont="1" applyBorder="1"/>
    <xf numFmtId="0" fontId="11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1" fillId="0" borderId="21" xfId="0" applyFont="1" applyBorder="1"/>
    <xf numFmtId="0" fontId="11" fillId="0" borderId="6" xfId="0" applyFont="1" applyBorder="1" applyAlignment="1">
      <alignment vertical="center"/>
    </xf>
    <xf numFmtId="0" fontId="11" fillId="0" borderId="2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1" fillId="0" borderId="0" xfId="0" applyFont="1"/>
    <xf numFmtId="0" fontId="13" fillId="0" borderId="0" xfId="0" applyFont="1"/>
    <xf numFmtId="0" fontId="14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6" fillId="2" borderId="0" xfId="0" applyFont="1" applyFill="1" applyAlignment="1" applyProtection="1">
      <alignment horizontal="center"/>
      <protection hidden="1"/>
    </xf>
    <xf numFmtId="0" fontId="17" fillId="2" borderId="0" xfId="0" applyFont="1" applyFill="1" applyAlignment="1" applyProtection="1">
      <alignment horizontal="left"/>
      <protection hidden="1"/>
    </xf>
    <xf numFmtId="0" fontId="17" fillId="2" borderId="25" xfId="0" applyFont="1" applyFill="1" applyBorder="1" applyAlignment="1" applyProtection="1">
      <alignment horizontal="left"/>
      <protection hidden="1"/>
    </xf>
    <xf numFmtId="0" fontId="17" fillId="2" borderId="26" xfId="0" applyFont="1" applyFill="1" applyBorder="1" applyAlignment="1" applyProtection="1">
      <alignment horizontal="left"/>
      <protection hidden="1"/>
    </xf>
    <xf numFmtId="0" fontId="17" fillId="2" borderId="14" xfId="0" applyFont="1" applyFill="1" applyBorder="1" applyAlignment="1" applyProtection="1">
      <alignment horizontal="left"/>
      <protection hidden="1"/>
    </xf>
    <xf numFmtId="0" fontId="18" fillId="0" borderId="1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28" xfId="0" applyFont="1" applyBorder="1"/>
    <xf numFmtId="0" fontId="18" fillId="0" borderId="16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4" fontId="5" fillId="0" borderId="38" xfId="0" applyNumberFormat="1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19" fillId="0" borderId="16" xfId="0" quotePrefix="1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vertical="center"/>
    </xf>
    <xf numFmtId="0" fontId="18" fillId="0" borderId="16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4" fontId="15" fillId="0" borderId="36" xfId="0" applyNumberFormat="1" applyFont="1" applyBorder="1" applyAlignment="1">
      <alignment horizontal="center" vertical="center"/>
    </xf>
    <xf numFmtId="4" fontId="15" fillId="0" borderId="35" xfId="0" applyNumberFormat="1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16" xfId="0" applyFont="1" applyBorder="1"/>
    <xf numFmtId="0" fontId="20" fillId="0" borderId="16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0" fillId="0" borderId="16" xfId="0" applyFont="1" applyBorder="1"/>
    <xf numFmtId="0" fontId="20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/>
    </xf>
    <xf numFmtId="4" fontId="21" fillId="0" borderId="36" xfId="0" applyNumberFormat="1" applyFont="1" applyBorder="1" applyAlignment="1">
      <alignment horizontal="center" vertical="center"/>
    </xf>
    <xf numFmtId="4" fontId="18" fillId="0" borderId="36" xfId="0" applyNumberFormat="1" applyFont="1" applyBorder="1" applyAlignment="1">
      <alignment horizontal="center" vertical="center"/>
    </xf>
    <xf numFmtId="4" fontId="18" fillId="0" borderId="3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4" fontId="18" fillId="0" borderId="30" xfId="0" applyNumberFormat="1" applyFont="1" applyBorder="1" applyAlignment="1">
      <alignment horizontal="center" vertical="center"/>
    </xf>
    <xf numFmtId="4" fontId="18" fillId="0" borderId="31" xfId="0" applyNumberFormat="1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15" fillId="0" borderId="25" xfId="0" applyFont="1" applyBorder="1" applyAlignment="1">
      <alignment horizontal="center" vertical="center"/>
    </xf>
    <xf numFmtId="4" fontId="15" fillId="0" borderId="30" xfId="0" applyNumberFormat="1" applyFont="1" applyBorder="1" applyAlignment="1">
      <alignment horizontal="center" vertical="center"/>
    </xf>
    <xf numFmtId="4" fontId="15" fillId="0" borderId="31" xfId="0" applyNumberFormat="1" applyFont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4" fontId="15" fillId="0" borderId="32" xfId="0" applyNumberFormat="1" applyFont="1" applyBorder="1" applyAlignment="1">
      <alignment horizontal="center" vertical="center"/>
    </xf>
    <xf numFmtId="14" fontId="18" fillId="0" borderId="29" xfId="0" applyNumberFormat="1" applyFont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14" fontId="18" fillId="0" borderId="32" xfId="0" applyNumberFormat="1" applyFont="1" applyBorder="1" applyAlignment="1">
      <alignment horizontal="center" vertical="center" wrapText="1"/>
    </xf>
    <xf numFmtId="14" fontId="18" fillId="0" borderId="33" xfId="0" applyNumberFormat="1" applyFont="1" applyBorder="1" applyAlignment="1">
      <alignment horizontal="center" vertical="center" wrapText="1"/>
    </xf>
    <xf numFmtId="14" fontId="18" fillId="0" borderId="23" xfId="0" applyNumberFormat="1" applyFont="1" applyBorder="1" applyAlignment="1">
      <alignment horizontal="center" vertical="center" wrapText="1"/>
    </xf>
    <xf numFmtId="14" fontId="18" fillId="0" borderId="34" xfId="0" applyNumberFormat="1" applyFont="1" applyBorder="1" applyAlignment="1">
      <alignment horizontal="center" vertical="center" wrapText="1"/>
    </xf>
    <xf numFmtId="164" fontId="18" fillId="0" borderId="29" xfId="0" applyNumberFormat="1" applyFont="1" applyBorder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164" fontId="18" fillId="0" borderId="32" xfId="0" applyNumberFormat="1" applyFont="1" applyBorder="1" applyAlignment="1">
      <alignment horizontal="center" vertical="center"/>
    </xf>
    <xf numFmtId="164" fontId="18" fillId="0" borderId="33" xfId="0" applyNumberFormat="1" applyFont="1" applyBorder="1" applyAlignment="1">
      <alignment horizontal="center" vertical="center"/>
    </xf>
    <xf numFmtId="164" fontId="18" fillId="0" borderId="23" xfId="0" applyNumberFormat="1" applyFont="1" applyBorder="1" applyAlignment="1">
      <alignment horizontal="center" vertical="center"/>
    </xf>
    <xf numFmtId="164" fontId="18" fillId="0" borderId="34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11" fillId="0" borderId="16" xfId="0" applyFont="1" applyBorder="1" applyAlignment="1">
      <alignment vertical="center"/>
    </xf>
    <xf numFmtId="0" fontId="11" fillId="0" borderId="17" xfId="0" applyFont="1" applyBorder="1" applyAlignment="1">
      <alignment vertical="center"/>
    </xf>
    <xf numFmtId="2" fontId="9" fillId="0" borderId="27" xfId="0" applyNumberFormat="1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27" fillId="0" borderId="41" xfId="0" applyFont="1" applyBorder="1" applyAlignment="1">
      <alignment horizontal="center" vertical="center" wrapText="1"/>
    </xf>
    <xf numFmtId="0" fontId="27" fillId="0" borderId="42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2" fillId="0" borderId="43" xfId="0" applyFont="1" applyBorder="1" applyAlignment="1">
      <alignment horizontal="left" vertical="center"/>
    </xf>
    <xf numFmtId="0" fontId="12" fillId="0" borderId="44" xfId="0" applyFont="1" applyBorder="1" applyAlignment="1">
      <alignment horizontal="left" vertical="center"/>
    </xf>
    <xf numFmtId="0" fontId="28" fillId="0" borderId="43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numFmt numFmtId="2" formatCode="0.00"/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ill>
        <patternFill patternType="solid">
          <bgColor rgb="FFFF8585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28575</xdr:rowOff>
    </xdr:from>
    <xdr:ext cx="514350" cy="35242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55</xdr:col>
      <xdr:colOff>66675</xdr:colOff>
      <xdr:row>30</xdr:row>
      <xdr:rowOff>142875</xdr:rowOff>
    </xdr:from>
    <xdr:to>
      <xdr:col>57</xdr:col>
      <xdr:colOff>476250</xdr:colOff>
      <xdr:row>31</xdr:row>
      <xdr:rowOff>400050</xdr:rowOff>
    </xdr:to>
    <xdr:pic>
      <xdr:nvPicPr>
        <xdr:cNvPr id="4" name="Picture 4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933575" cy="695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3</xdr:row>
      <xdr:rowOff>19050</xdr:rowOff>
    </xdr:from>
    <xdr:to>
      <xdr:col>5</xdr:col>
      <xdr:colOff>552450</xdr:colOff>
      <xdr:row>5</xdr:row>
      <xdr:rowOff>38100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5300" cy="3524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6</xdr:row>
          <xdr:rowOff>133350</xdr:rowOff>
        </xdr:from>
        <xdr:to>
          <xdr:col>7</xdr:col>
          <xdr:colOff>733425</xdr:colOff>
          <xdr:row>7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="" xmlns:a16="http://schemas.microsoft.com/office/drawing/2014/main" id="{4CDAFDD7-8AA1-47E1-A8A9-49343680B6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371475</xdr:colOff>
          <xdr:row>6</xdr:row>
          <xdr:rowOff>133350</xdr:rowOff>
        </xdr:from>
        <xdr:to>
          <xdr:col>9</xdr:col>
          <xdr:colOff>295275</xdr:colOff>
          <xdr:row>7</xdr:row>
          <xdr:rowOff>161925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="" xmlns:a16="http://schemas.microsoft.com/office/drawing/2014/main" id="{4953C6C7-4059-4041-8623-DBC2363C86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JIG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110"/>
  <sheetViews>
    <sheetView showZeros="0" tabSelected="1" zoomScale="85" zoomScaleNormal="85" workbookViewId="0">
      <selection activeCell="T49" sqref="T49"/>
    </sheetView>
  </sheetViews>
  <sheetFormatPr defaultColWidth="8" defaultRowHeight="15"/>
  <cols>
    <col min="1" max="1" width="8.42578125" style="45" customWidth="1"/>
    <col min="2" max="2" width="3.85546875" style="45" customWidth="1"/>
    <col min="3" max="3" width="6" style="45" customWidth="1"/>
    <col min="4" max="5" width="3.85546875" style="45" customWidth="1"/>
    <col min="6" max="6" width="15" style="45" customWidth="1"/>
    <col min="7" max="13" width="3.85546875" style="45" customWidth="1"/>
    <col min="14" max="14" width="10.7109375" style="45" customWidth="1"/>
    <col min="15" max="16" width="3.85546875" style="45" customWidth="1"/>
    <col min="17" max="17" width="11.28515625" style="45" customWidth="1"/>
    <col min="18" max="24" width="3.85546875" style="45" customWidth="1"/>
    <col min="25" max="25" width="2.85546875" style="45" customWidth="1"/>
    <col min="26" max="27" width="8.5703125" style="45" customWidth="1"/>
    <col min="28" max="29" width="3.85546875" style="45" customWidth="1"/>
    <col min="30" max="30" width="5" style="45" customWidth="1"/>
    <col min="31" max="31" width="6.85546875" style="45" customWidth="1"/>
    <col min="32" max="32" width="9.7109375" style="45" customWidth="1"/>
    <col min="33" max="33" width="3.85546875" style="45" customWidth="1"/>
    <col min="34" max="34" width="6.7109375" style="45" customWidth="1"/>
    <col min="35" max="36" width="3.85546875" style="45" customWidth="1"/>
    <col min="37" max="37" width="10.140625" style="45" customWidth="1"/>
    <col min="38" max="38" width="6" style="45" customWidth="1"/>
    <col min="39" max="39" width="3.85546875" style="45" customWidth="1"/>
    <col min="40" max="40" width="11.28515625" style="45" customWidth="1"/>
    <col min="41" max="41" width="49.5703125" style="45" hidden="1" customWidth="1"/>
    <col min="42" max="42" width="27.42578125" style="45" hidden="1" customWidth="1"/>
    <col min="43" max="44" width="9.140625" style="45" hidden="1" customWidth="1"/>
    <col min="45" max="45" width="8.5703125" style="45" hidden="1" customWidth="1"/>
    <col min="46" max="46" width="8" style="45" hidden="1"/>
    <col min="47" max="47" width="9.140625" style="45" hidden="1" customWidth="1"/>
    <col min="48" max="48" width="20.140625" style="45" hidden="1" customWidth="1"/>
    <col min="49" max="49" width="12.28515625" style="45" hidden="1" customWidth="1"/>
    <col min="50" max="50" width="8" style="45" hidden="1"/>
    <col min="51" max="51" width="17.28515625" style="45" hidden="1" customWidth="1"/>
    <col min="52" max="52" width="13.85546875" style="45" hidden="1" customWidth="1"/>
    <col min="53" max="53" width="4" style="45" customWidth="1"/>
    <col min="54" max="55" width="8" style="45"/>
    <col min="56" max="56" width="11" style="45" customWidth="1"/>
    <col min="57" max="57" width="12" style="45" customWidth="1"/>
    <col min="58" max="58" width="19.42578125" style="45" customWidth="1"/>
    <col min="59" max="59" width="9.28515625" style="45" customWidth="1"/>
    <col min="60" max="60" width="8.5703125" style="45" customWidth="1"/>
    <col min="61" max="61" width="8" style="45"/>
  </cols>
  <sheetData>
    <row r="1" spans="1:58" ht="12.75" customHeight="1">
      <c r="A1" s="43">
        <v>0.47003472222221998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BE1" s="45">
        <v>0</v>
      </c>
    </row>
    <row r="2" spans="1:58" ht="12.75" customHeight="1">
      <c r="A2" s="46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58" ht="18" customHeight="1">
      <c r="A3" s="84" t="s">
        <v>1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BF3" s="48"/>
    </row>
    <row r="4" spans="1:58" ht="25.5" customHeight="1">
      <c r="A4" s="49" t="s">
        <v>2</v>
      </c>
      <c r="AN4" s="50" t="s">
        <v>3</v>
      </c>
    </row>
    <row r="5" spans="1:58" ht="3" customHeight="1"/>
    <row r="6" spans="1:58" ht="18" customHeight="1">
      <c r="A6" s="51" t="s">
        <v>4</v>
      </c>
      <c r="B6" s="52"/>
      <c r="C6" s="52"/>
      <c r="D6" s="52"/>
      <c r="E6" s="52"/>
      <c r="F6" s="85" t="s">
        <v>5</v>
      </c>
      <c r="G6" s="85"/>
      <c r="H6" s="85"/>
      <c r="I6" s="85"/>
      <c r="J6" s="85"/>
      <c r="K6" s="85"/>
      <c r="L6" s="85"/>
      <c r="M6" s="85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 t="s">
        <v>6</v>
      </c>
      <c r="AC6" s="52"/>
      <c r="AD6" s="52"/>
      <c r="AE6" s="52"/>
      <c r="AF6" s="52"/>
      <c r="AG6" s="86">
        <f ca="1">O39+14</f>
        <v>46111</v>
      </c>
      <c r="AH6" s="87"/>
      <c r="AI6" s="87"/>
      <c r="AJ6" s="87"/>
      <c r="AK6" s="87"/>
      <c r="AL6" s="87"/>
      <c r="AM6" s="52"/>
      <c r="AN6" s="54"/>
    </row>
    <row r="7" spans="1:58" ht="22.5" customHeight="1">
      <c r="A7" s="55" t="s">
        <v>7</v>
      </c>
      <c r="D7" s="88"/>
      <c r="E7" s="89"/>
      <c r="F7" s="89"/>
      <c r="G7" s="89"/>
      <c r="H7" s="89"/>
      <c r="I7" s="89"/>
      <c r="J7" s="89"/>
      <c r="K7" s="89"/>
      <c r="L7" s="89"/>
      <c r="M7" s="89"/>
      <c r="N7" s="56"/>
      <c r="O7" s="56"/>
      <c r="AB7" s="57" t="s">
        <v>8</v>
      </c>
      <c r="AG7" s="90" t="s">
        <v>9</v>
      </c>
      <c r="AH7" s="90"/>
      <c r="AI7" s="90"/>
      <c r="AJ7" s="90"/>
      <c r="AK7" s="90"/>
      <c r="AL7" s="90"/>
      <c r="AN7" s="58"/>
      <c r="AP7" s="45" t="s">
        <v>10</v>
      </c>
      <c r="AQ7" s="45" t="s">
        <v>10</v>
      </c>
    </row>
    <row r="8" spans="1:58" s="61" customFormat="1" ht="24.95" customHeight="1">
      <c r="A8" s="59" t="s">
        <v>11</v>
      </c>
      <c r="B8" s="56"/>
      <c r="C8" s="56"/>
      <c r="D8" s="56" t="s">
        <v>12</v>
      </c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60"/>
      <c r="AP8" s="61" t="s">
        <v>13</v>
      </c>
      <c r="AQ8" s="61" t="s">
        <v>13</v>
      </c>
    </row>
    <row r="9" spans="1:58" s="61" customFormat="1" ht="24.95" customHeight="1">
      <c r="A9" s="59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60"/>
    </row>
    <row r="10" spans="1:58" ht="5.0999999999999996" customHeight="1">
      <c r="A10" s="63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5"/>
    </row>
    <row r="11" spans="1:58" s="66" customFormat="1" ht="14.45" customHeight="1">
      <c r="A11" s="91" t="s">
        <v>12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</row>
    <row r="12" spans="1:58" s="66" customFormat="1" ht="12" customHeight="1">
      <c r="A12" s="81" t="s">
        <v>14</v>
      </c>
      <c r="B12" s="81" t="s">
        <v>15</v>
      </c>
      <c r="C12" s="81"/>
      <c r="D12" s="81"/>
      <c r="E12" s="81"/>
      <c r="F12" s="81"/>
      <c r="G12" s="81" t="s">
        <v>16</v>
      </c>
      <c r="H12" s="81"/>
      <c r="I12" s="81"/>
      <c r="J12" s="81"/>
      <c r="K12" s="81"/>
      <c r="L12" s="81"/>
      <c r="M12" s="81"/>
      <c r="N12" s="81"/>
      <c r="O12" s="82" t="s">
        <v>17</v>
      </c>
      <c r="P12" s="82"/>
      <c r="Q12" s="82"/>
      <c r="R12" s="83" t="s">
        <v>18</v>
      </c>
      <c r="S12" s="83"/>
      <c r="T12" s="83"/>
      <c r="U12" s="83"/>
      <c r="V12" s="81" t="s">
        <v>19</v>
      </c>
      <c r="W12" s="81"/>
      <c r="X12" s="81"/>
      <c r="Y12" s="81"/>
      <c r="Z12" s="92" t="s">
        <v>20</v>
      </c>
      <c r="AA12" s="92"/>
      <c r="AB12" s="81" t="s">
        <v>21</v>
      </c>
      <c r="AC12" s="81"/>
      <c r="AD12" s="81"/>
      <c r="AE12" s="81" t="s">
        <v>22</v>
      </c>
      <c r="AF12" s="81"/>
      <c r="AG12" s="81"/>
      <c r="AH12" s="81" t="s">
        <v>23</v>
      </c>
      <c r="AI12" s="81"/>
      <c r="AJ12" s="81"/>
      <c r="AK12" s="81"/>
      <c r="AL12" s="81" t="s">
        <v>24</v>
      </c>
      <c r="AM12" s="81"/>
      <c r="AN12" s="81"/>
    </row>
    <row r="13" spans="1:58" s="66" customFormat="1" ht="12" customHeight="1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2"/>
      <c r="P13" s="82"/>
      <c r="Q13" s="82"/>
      <c r="R13" s="83"/>
      <c r="S13" s="83"/>
      <c r="T13" s="83"/>
      <c r="U13" s="83"/>
      <c r="V13" s="81"/>
      <c r="W13" s="81"/>
      <c r="X13" s="81"/>
      <c r="Y13" s="81"/>
      <c r="Z13" s="92"/>
      <c r="AA13" s="92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67"/>
      <c r="AP13" s="67"/>
    </row>
    <row r="14" spans="1:58" s="66" customFormat="1" ht="17.100000000000001" customHeight="1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2"/>
      <c r="P14" s="82"/>
      <c r="Q14" s="82"/>
      <c r="R14" s="83"/>
      <c r="S14" s="83"/>
      <c r="T14" s="83"/>
      <c r="U14" s="83"/>
      <c r="V14" s="81"/>
      <c r="W14" s="81"/>
      <c r="X14" s="81"/>
      <c r="Y14" s="81"/>
      <c r="Z14" s="92"/>
      <c r="AA14" s="92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</row>
    <row r="15" spans="1:58" s="66" customFormat="1" ht="17.100000000000001" customHeight="1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2"/>
      <c r="P15" s="82"/>
      <c r="Q15" s="82"/>
      <c r="R15" s="83"/>
      <c r="S15" s="83"/>
      <c r="T15" s="83"/>
      <c r="U15" s="83"/>
      <c r="V15" s="81"/>
      <c r="W15" s="81"/>
      <c r="X15" s="81"/>
      <c r="Y15" s="81"/>
      <c r="Z15" s="92"/>
      <c r="AA15" s="92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</row>
    <row r="16" spans="1:58" s="66" customFormat="1" ht="17.100000000000001" customHeight="1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2"/>
      <c r="P16" s="82"/>
      <c r="Q16" s="82"/>
      <c r="R16" s="83"/>
      <c r="S16" s="83"/>
      <c r="T16" s="83"/>
      <c r="U16" s="83"/>
      <c r="V16" s="81"/>
      <c r="W16" s="81"/>
      <c r="X16" s="81"/>
      <c r="Y16" s="81"/>
      <c r="Z16" s="92"/>
      <c r="AA16" s="92"/>
      <c r="AB16" s="81"/>
      <c r="AC16" s="81"/>
      <c r="AD16" s="81"/>
      <c r="AE16" s="93"/>
      <c r="AF16" s="93"/>
      <c r="AG16" s="93"/>
      <c r="AH16" s="93"/>
      <c r="AI16" s="93"/>
      <c r="AJ16" s="93"/>
      <c r="AK16" s="93"/>
      <c r="AL16" s="81"/>
      <c r="AM16" s="81"/>
      <c r="AN16" s="81"/>
    </row>
    <row r="17" spans="1:52" ht="35.1" customHeight="1">
      <c r="A17" s="68"/>
      <c r="B17" s="94"/>
      <c r="C17" s="94"/>
      <c r="D17" s="94"/>
      <c r="E17" s="94"/>
      <c r="F17" s="94"/>
      <c r="G17" s="95"/>
      <c r="H17" s="95"/>
      <c r="I17" s="95"/>
      <c r="J17" s="95"/>
      <c r="K17" s="95"/>
      <c r="L17" s="95"/>
      <c r="M17" s="95"/>
      <c r="N17" s="95"/>
      <c r="O17" s="96"/>
      <c r="P17" s="96"/>
      <c r="Q17" s="96"/>
      <c r="R17" s="97"/>
      <c r="S17" s="92"/>
      <c r="T17" s="92"/>
      <c r="U17" s="92"/>
      <c r="V17" s="94"/>
      <c r="W17" s="94"/>
      <c r="X17" s="94"/>
      <c r="Y17" s="94"/>
      <c r="Z17" s="98"/>
      <c r="AA17" s="98"/>
      <c r="AB17" s="99"/>
      <c r="AC17" s="99"/>
      <c r="AD17" s="100"/>
      <c r="AE17" s="69"/>
      <c r="AF17" s="101"/>
      <c r="AG17" s="101"/>
      <c r="AH17" s="69"/>
      <c r="AI17" s="101"/>
      <c r="AJ17" s="101"/>
      <c r="AK17" s="102"/>
      <c r="AL17" s="103"/>
      <c r="AM17" s="89"/>
      <c r="AN17" s="89"/>
      <c r="AO17" s="45" t="str">
        <f t="shared" ref="AO17:AO35" si="0">$D$7&amp;A17</f>
        <v/>
      </c>
      <c r="AP17" s="45" t="s">
        <v>76</v>
      </c>
      <c r="AQ17" s="70" t="e">
        <f t="shared" ref="AQ17:AQ33" si="1">TRIM(LEFT(AP17,1)&amp;MID(AP17,FIND(" ",AP17&amp;" ")+1,1)&amp;MID(AP17,FIND("*",SUBSTITUTE(AP17&amp;" "," ","*",2))+1,1))</f>
        <v>#VALUE!</v>
      </c>
      <c r="AR17" s="45" t="e">
        <f>IF(AQ17="","",IF(COUNTIF($AZ$17:AZ32,O46)&gt;1,"Double RM",IF(AQ17=AZ18:AZ21,"OK","Check")))</f>
        <v>#VALUE!</v>
      </c>
      <c r="AU17" s="45" t="str">
        <f>IF(O17="","",IF($AZ$18:$BA$30="0","ü",""))</f>
        <v/>
      </c>
      <c r="AV17" s="71"/>
      <c r="AY17" s="71"/>
      <c r="AZ17" s="45" t="s">
        <v>25</v>
      </c>
    </row>
    <row r="18" spans="1:52" ht="35.1" customHeight="1">
      <c r="A18" s="68"/>
      <c r="B18" s="94"/>
      <c r="C18" s="94"/>
      <c r="D18" s="94"/>
      <c r="E18" s="94"/>
      <c r="F18" s="94"/>
      <c r="G18" s="95"/>
      <c r="H18" s="95"/>
      <c r="I18" s="95"/>
      <c r="J18" s="95"/>
      <c r="K18" s="95"/>
      <c r="L18" s="95"/>
      <c r="M18" s="95"/>
      <c r="N18" s="95"/>
      <c r="O18" s="96"/>
      <c r="P18" s="96"/>
      <c r="Q18" s="96"/>
      <c r="R18" s="97"/>
      <c r="S18" s="92"/>
      <c r="T18" s="92"/>
      <c r="U18" s="92"/>
      <c r="V18" s="94"/>
      <c r="W18" s="94"/>
      <c r="X18" s="94"/>
      <c r="Y18" s="94"/>
      <c r="Z18" s="98"/>
      <c r="AA18" s="98"/>
      <c r="AB18" s="99"/>
      <c r="AC18" s="99"/>
      <c r="AD18" s="100"/>
      <c r="AE18" s="69"/>
      <c r="AF18" s="101"/>
      <c r="AG18" s="101"/>
      <c r="AH18" s="69"/>
      <c r="AI18" s="101"/>
      <c r="AJ18" s="101"/>
      <c r="AK18" s="102"/>
      <c r="AL18" s="89"/>
      <c r="AM18" s="104"/>
      <c r="AN18" s="104"/>
      <c r="AO18" s="45" t="str">
        <f t="shared" si="0"/>
        <v/>
      </c>
      <c r="AP18" s="45" t="s">
        <v>76</v>
      </c>
      <c r="AQ18" s="70" t="e">
        <f t="shared" si="1"/>
        <v>#VALUE!</v>
      </c>
      <c r="AV18" s="72"/>
      <c r="AY18" s="73" t="s">
        <v>26</v>
      </c>
      <c r="AZ18" s="45" t="s">
        <v>27</v>
      </c>
    </row>
    <row r="19" spans="1:52" ht="35.1" customHeight="1">
      <c r="A19" s="68"/>
      <c r="B19" s="94"/>
      <c r="C19" s="94"/>
      <c r="D19" s="94"/>
      <c r="E19" s="94"/>
      <c r="F19" s="94"/>
      <c r="G19" s="95"/>
      <c r="H19" s="95"/>
      <c r="I19" s="95"/>
      <c r="J19" s="95"/>
      <c r="K19" s="95"/>
      <c r="L19" s="95"/>
      <c r="M19" s="95"/>
      <c r="N19" s="95"/>
      <c r="O19" s="96"/>
      <c r="P19" s="96"/>
      <c r="Q19" s="96"/>
      <c r="R19" s="97"/>
      <c r="S19" s="92"/>
      <c r="T19" s="92"/>
      <c r="U19" s="92"/>
      <c r="V19" s="94"/>
      <c r="W19" s="94"/>
      <c r="X19" s="94"/>
      <c r="Y19" s="94"/>
      <c r="Z19" s="98"/>
      <c r="AA19" s="98"/>
      <c r="AB19" s="99"/>
      <c r="AC19" s="99"/>
      <c r="AD19" s="100"/>
      <c r="AE19" s="69"/>
      <c r="AF19" s="101"/>
      <c r="AG19" s="101"/>
      <c r="AH19" s="69"/>
      <c r="AI19" s="101"/>
      <c r="AJ19" s="101"/>
      <c r="AK19" s="102"/>
      <c r="AL19" s="89" t="s">
        <v>28</v>
      </c>
      <c r="AM19" s="89"/>
      <c r="AN19" s="89"/>
      <c r="AO19" s="45" t="str">
        <f t="shared" si="0"/>
        <v/>
      </c>
      <c r="AP19" s="45" t="s">
        <v>76</v>
      </c>
      <c r="AQ19" s="70" t="e">
        <f t="shared" si="1"/>
        <v>#VALUE!</v>
      </c>
      <c r="AV19" s="72"/>
      <c r="AY19" s="74" t="s">
        <v>29</v>
      </c>
    </row>
    <row r="20" spans="1:52" ht="35.1" customHeight="1">
      <c r="A20" s="68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6"/>
      <c r="P20" s="96"/>
      <c r="Q20" s="96"/>
      <c r="R20" s="97"/>
      <c r="S20" s="92"/>
      <c r="T20" s="92"/>
      <c r="U20" s="92"/>
      <c r="V20" s="94"/>
      <c r="W20" s="94"/>
      <c r="X20" s="94"/>
      <c r="Y20" s="94"/>
      <c r="Z20" s="98"/>
      <c r="AA20" s="98"/>
      <c r="AB20" s="99"/>
      <c r="AC20" s="99"/>
      <c r="AD20" s="100"/>
      <c r="AE20" s="69"/>
      <c r="AF20" s="101"/>
      <c r="AG20" s="101"/>
      <c r="AH20" s="69"/>
      <c r="AI20" s="101"/>
      <c r="AJ20" s="101"/>
      <c r="AK20" s="102"/>
      <c r="AL20" s="105"/>
      <c r="AM20" s="105"/>
      <c r="AN20" s="105"/>
      <c r="AO20" s="45" t="str">
        <f t="shared" si="0"/>
        <v/>
      </c>
      <c r="AP20" s="45" t="s">
        <v>76</v>
      </c>
      <c r="AQ20" s="70" t="e">
        <f t="shared" si="1"/>
        <v>#VALUE!</v>
      </c>
      <c r="AV20" s="72"/>
      <c r="AY20" s="74" t="s">
        <v>30</v>
      </c>
    </row>
    <row r="21" spans="1:52" ht="35.1" customHeight="1">
      <c r="A21" s="68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6"/>
      <c r="P21" s="96"/>
      <c r="Q21" s="96"/>
      <c r="R21" s="97"/>
      <c r="S21" s="92"/>
      <c r="T21" s="92"/>
      <c r="U21" s="92"/>
      <c r="V21" s="94"/>
      <c r="W21" s="94"/>
      <c r="X21" s="94"/>
      <c r="Y21" s="94"/>
      <c r="Z21" s="98"/>
      <c r="AA21" s="98"/>
      <c r="AB21" s="99"/>
      <c r="AC21" s="99"/>
      <c r="AD21" s="100"/>
      <c r="AE21" s="69"/>
      <c r="AF21" s="101"/>
      <c r="AG21" s="101"/>
      <c r="AH21" s="69"/>
      <c r="AI21" s="101"/>
      <c r="AJ21" s="101"/>
      <c r="AK21" s="102"/>
      <c r="AL21" s="105"/>
      <c r="AM21" s="105"/>
      <c r="AN21" s="105"/>
      <c r="AO21" s="45" t="str">
        <f t="shared" si="0"/>
        <v/>
      </c>
      <c r="AP21" s="45" t="s">
        <v>76</v>
      </c>
      <c r="AQ21" s="70" t="e">
        <f t="shared" si="1"/>
        <v>#VALUE!</v>
      </c>
      <c r="AV21" s="72"/>
      <c r="AY21" s="75" t="s">
        <v>31</v>
      </c>
    </row>
    <row r="22" spans="1:52" ht="35.1" customHeight="1">
      <c r="A22" s="68"/>
      <c r="B22" s="94"/>
      <c r="C22" s="94"/>
      <c r="D22" s="94"/>
      <c r="E22" s="94"/>
      <c r="F22" s="94"/>
      <c r="G22" s="95"/>
      <c r="H22" s="95"/>
      <c r="I22" s="95"/>
      <c r="J22" s="95"/>
      <c r="K22" s="95"/>
      <c r="L22" s="95"/>
      <c r="M22" s="95"/>
      <c r="N22" s="95"/>
      <c r="O22" s="96"/>
      <c r="P22" s="96"/>
      <c r="Q22" s="96"/>
      <c r="R22" s="97"/>
      <c r="S22" s="92"/>
      <c r="T22" s="92"/>
      <c r="U22" s="92"/>
      <c r="V22" s="106"/>
      <c r="W22" s="106"/>
      <c r="X22" s="106"/>
      <c r="Y22" s="106"/>
      <c r="Z22" s="98"/>
      <c r="AA22" s="98"/>
      <c r="AB22" s="99"/>
      <c r="AC22" s="99"/>
      <c r="AD22" s="100"/>
      <c r="AE22" s="69"/>
      <c r="AF22" s="101"/>
      <c r="AG22" s="101"/>
      <c r="AH22" s="69"/>
      <c r="AI22" s="101"/>
      <c r="AJ22" s="101"/>
      <c r="AK22" s="102"/>
      <c r="AL22" s="105"/>
      <c r="AM22" s="105"/>
      <c r="AN22" s="105"/>
      <c r="AO22" s="45" t="str">
        <f t="shared" si="0"/>
        <v/>
      </c>
      <c r="AP22" s="45" t="s">
        <v>76</v>
      </c>
      <c r="AQ22" s="70" t="e">
        <f t="shared" si="1"/>
        <v>#VALUE!</v>
      </c>
    </row>
    <row r="23" spans="1:52" ht="35.1" customHeight="1">
      <c r="A23" s="68"/>
      <c r="B23" s="94"/>
      <c r="C23" s="94"/>
      <c r="D23" s="94"/>
      <c r="E23" s="94"/>
      <c r="F23" s="94"/>
      <c r="G23" s="95"/>
      <c r="H23" s="95"/>
      <c r="I23" s="95"/>
      <c r="J23" s="95"/>
      <c r="K23" s="95"/>
      <c r="L23" s="95"/>
      <c r="M23" s="95"/>
      <c r="N23" s="95"/>
      <c r="O23" s="96"/>
      <c r="P23" s="96"/>
      <c r="Q23" s="96"/>
      <c r="R23" s="97"/>
      <c r="S23" s="92"/>
      <c r="T23" s="92"/>
      <c r="U23" s="92"/>
      <c r="V23" s="106"/>
      <c r="W23" s="106"/>
      <c r="X23" s="106"/>
      <c r="Y23" s="106"/>
      <c r="Z23" s="98"/>
      <c r="AA23" s="98"/>
      <c r="AB23" s="99"/>
      <c r="AC23" s="99"/>
      <c r="AD23" s="100"/>
      <c r="AE23" s="69"/>
      <c r="AF23" s="101"/>
      <c r="AG23" s="101"/>
      <c r="AH23" s="69"/>
      <c r="AI23" s="101"/>
      <c r="AJ23" s="101"/>
      <c r="AK23" s="102"/>
      <c r="AL23" s="105"/>
      <c r="AM23" s="107"/>
      <c r="AN23" s="107"/>
      <c r="AO23" s="45" t="str">
        <f t="shared" si="0"/>
        <v/>
      </c>
      <c r="AP23" s="45" t="s">
        <v>76</v>
      </c>
      <c r="AQ23" s="70" t="e">
        <f t="shared" si="1"/>
        <v>#VALUE!</v>
      </c>
      <c r="AV23" s="72"/>
      <c r="AY23" s="72" t="s">
        <v>32</v>
      </c>
      <c r="AZ23" s="45" t="s">
        <v>33</v>
      </c>
    </row>
    <row r="24" spans="1:52" ht="35.1" customHeight="1">
      <c r="A24" s="68"/>
      <c r="B24" s="94"/>
      <c r="C24" s="94"/>
      <c r="D24" s="94"/>
      <c r="E24" s="94"/>
      <c r="F24" s="94"/>
      <c r="G24" s="95"/>
      <c r="H24" s="95"/>
      <c r="I24" s="95"/>
      <c r="J24" s="95"/>
      <c r="K24" s="95"/>
      <c r="L24" s="95"/>
      <c r="M24" s="95"/>
      <c r="N24" s="95"/>
      <c r="O24" s="96"/>
      <c r="P24" s="96"/>
      <c r="Q24" s="96"/>
      <c r="R24" s="97"/>
      <c r="S24" s="92"/>
      <c r="T24" s="92"/>
      <c r="U24" s="92"/>
      <c r="V24" s="106"/>
      <c r="W24" s="106"/>
      <c r="X24" s="106"/>
      <c r="Y24" s="106"/>
      <c r="Z24" s="98"/>
      <c r="AA24" s="98"/>
      <c r="AB24" s="99"/>
      <c r="AC24" s="99"/>
      <c r="AD24" s="100"/>
      <c r="AE24" s="69"/>
      <c r="AF24" s="101"/>
      <c r="AG24" s="101"/>
      <c r="AH24" s="69"/>
      <c r="AI24" s="101"/>
      <c r="AJ24" s="101"/>
      <c r="AK24" s="102"/>
      <c r="AL24" s="105"/>
      <c r="AM24" s="105"/>
      <c r="AN24" s="105"/>
      <c r="AO24" s="45" t="str">
        <f t="shared" si="0"/>
        <v/>
      </c>
      <c r="AP24" s="45" t="s">
        <v>76</v>
      </c>
      <c r="AQ24" s="70" t="e">
        <f t="shared" si="1"/>
        <v>#VALUE!</v>
      </c>
      <c r="AV24" s="72"/>
      <c r="AY24" s="72" t="s">
        <v>34</v>
      </c>
    </row>
    <row r="25" spans="1:52" ht="35.1" customHeight="1">
      <c r="A25" s="68"/>
      <c r="B25" s="94"/>
      <c r="C25" s="94"/>
      <c r="D25" s="94"/>
      <c r="E25" s="94"/>
      <c r="F25" s="94"/>
      <c r="G25" s="95"/>
      <c r="H25" s="95"/>
      <c r="I25" s="95"/>
      <c r="J25" s="95"/>
      <c r="K25" s="95"/>
      <c r="L25" s="95"/>
      <c r="M25" s="95"/>
      <c r="N25" s="95"/>
      <c r="O25" s="96"/>
      <c r="P25" s="96"/>
      <c r="Q25" s="96"/>
      <c r="R25" s="97"/>
      <c r="S25" s="92"/>
      <c r="T25" s="92"/>
      <c r="U25" s="92"/>
      <c r="V25" s="106"/>
      <c r="W25" s="106"/>
      <c r="X25" s="106"/>
      <c r="Y25" s="106"/>
      <c r="Z25" s="98"/>
      <c r="AA25" s="98"/>
      <c r="AB25" s="99"/>
      <c r="AC25" s="99"/>
      <c r="AD25" s="100"/>
      <c r="AE25" s="69"/>
      <c r="AF25" s="101"/>
      <c r="AG25" s="101"/>
      <c r="AH25" s="69"/>
      <c r="AI25" s="101"/>
      <c r="AJ25" s="101"/>
      <c r="AK25" s="102"/>
      <c r="AL25" s="105"/>
      <c r="AM25" s="105"/>
      <c r="AN25" s="105"/>
      <c r="AO25" s="45" t="str">
        <f t="shared" si="0"/>
        <v/>
      </c>
      <c r="AP25" s="45" t="s">
        <v>76</v>
      </c>
      <c r="AQ25" s="70" t="e">
        <f t="shared" si="1"/>
        <v>#VALUE!</v>
      </c>
      <c r="AV25" s="72"/>
      <c r="AY25" s="72" t="s">
        <v>35</v>
      </c>
    </row>
    <row r="26" spans="1:52" ht="35.1" customHeight="1">
      <c r="A26" s="68"/>
      <c r="B26" s="94"/>
      <c r="C26" s="94"/>
      <c r="D26" s="94"/>
      <c r="E26" s="94"/>
      <c r="F26" s="94"/>
      <c r="G26" s="95"/>
      <c r="H26" s="95"/>
      <c r="I26" s="95"/>
      <c r="J26" s="95"/>
      <c r="K26" s="95"/>
      <c r="L26" s="95"/>
      <c r="M26" s="95"/>
      <c r="N26" s="95"/>
      <c r="O26" s="96"/>
      <c r="P26" s="96"/>
      <c r="Q26" s="96"/>
      <c r="R26" s="97"/>
      <c r="S26" s="92"/>
      <c r="T26" s="92"/>
      <c r="U26" s="92"/>
      <c r="V26" s="106"/>
      <c r="W26" s="106"/>
      <c r="X26" s="106"/>
      <c r="Y26" s="106"/>
      <c r="Z26" s="98"/>
      <c r="AA26" s="98"/>
      <c r="AB26" s="99"/>
      <c r="AC26" s="99"/>
      <c r="AD26" s="100"/>
      <c r="AE26" s="69"/>
      <c r="AF26" s="101"/>
      <c r="AG26" s="101"/>
      <c r="AH26" s="69"/>
      <c r="AI26" s="101"/>
      <c r="AJ26" s="101"/>
      <c r="AK26" s="102"/>
      <c r="AL26" s="105"/>
      <c r="AM26" s="105"/>
      <c r="AN26" s="105"/>
      <c r="AO26" s="45" t="str">
        <f t="shared" si="0"/>
        <v/>
      </c>
      <c r="AP26" s="45" t="s">
        <v>76</v>
      </c>
      <c r="AQ26" s="70" t="e">
        <f t="shared" si="1"/>
        <v>#VALUE!</v>
      </c>
      <c r="AV26" s="72"/>
      <c r="AY26" s="72" t="s">
        <v>36</v>
      </c>
    </row>
    <row r="27" spans="1:52" ht="35.1" customHeight="1">
      <c r="A27" s="68"/>
      <c r="B27" s="94"/>
      <c r="C27" s="94"/>
      <c r="D27" s="94"/>
      <c r="E27" s="94"/>
      <c r="F27" s="94"/>
      <c r="G27" s="106"/>
      <c r="H27" s="106"/>
      <c r="I27" s="106"/>
      <c r="J27" s="106"/>
      <c r="K27" s="106"/>
      <c r="L27" s="106"/>
      <c r="M27" s="106"/>
      <c r="N27" s="106"/>
      <c r="O27" s="96"/>
      <c r="P27" s="96"/>
      <c r="Q27" s="96"/>
      <c r="R27" s="92"/>
      <c r="S27" s="92"/>
      <c r="T27" s="92"/>
      <c r="U27" s="92"/>
      <c r="V27" s="108"/>
      <c r="W27" s="108"/>
      <c r="X27" s="108"/>
      <c r="Y27" s="108"/>
      <c r="Z27" s="98"/>
      <c r="AA27" s="98"/>
      <c r="AB27" s="99"/>
      <c r="AC27" s="99"/>
      <c r="AD27" s="100"/>
      <c r="AE27" s="69"/>
      <c r="AF27" s="101"/>
      <c r="AG27" s="101"/>
      <c r="AH27" s="69"/>
      <c r="AI27" s="101"/>
      <c r="AJ27" s="101"/>
      <c r="AK27" s="102"/>
      <c r="AL27" s="105"/>
      <c r="AM27" s="105"/>
      <c r="AN27" s="105"/>
      <c r="AO27" s="45" t="str">
        <f t="shared" si="0"/>
        <v/>
      </c>
      <c r="AP27" s="45" t="s">
        <v>76</v>
      </c>
      <c r="AQ27" s="70" t="e">
        <f t="shared" si="1"/>
        <v>#VALUE!</v>
      </c>
      <c r="AV27" s="72"/>
      <c r="AY27" s="72" t="s">
        <v>37</v>
      </c>
    </row>
    <row r="28" spans="1:52" ht="35.1" customHeight="1">
      <c r="A28" s="68"/>
      <c r="B28" s="94"/>
      <c r="C28" s="94"/>
      <c r="D28" s="94"/>
      <c r="E28" s="94"/>
      <c r="F28" s="94"/>
      <c r="G28" s="106"/>
      <c r="H28" s="106"/>
      <c r="I28" s="106"/>
      <c r="J28" s="106"/>
      <c r="K28" s="106"/>
      <c r="L28" s="106"/>
      <c r="M28" s="106"/>
      <c r="N28" s="106"/>
      <c r="O28" s="96"/>
      <c r="P28" s="96"/>
      <c r="Q28" s="96"/>
      <c r="R28" s="92"/>
      <c r="S28" s="92"/>
      <c r="T28" s="92"/>
      <c r="U28" s="92"/>
      <c r="V28" s="106"/>
      <c r="W28" s="106"/>
      <c r="X28" s="106"/>
      <c r="Y28" s="106"/>
      <c r="Z28" s="98"/>
      <c r="AA28" s="98"/>
      <c r="AB28" s="92"/>
      <c r="AC28" s="92"/>
      <c r="AD28" s="109"/>
      <c r="AE28" s="76"/>
      <c r="AF28" s="110"/>
      <c r="AG28" s="110"/>
      <c r="AH28" s="76"/>
      <c r="AI28" s="111"/>
      <c r="AJ28" s="111"/>
      <c r="AK28" s="112"/>
      <c r="AL28" s="105" t="s">
        <v>28</v>
      </c>
      <c r="AM28" s="105"/>
      <c r="AN28" s="105"/>
      <c r="AO28" s="45" t="str">
        <f t="shared" si="0"/>
        <v/>
      </c>
      <c r="AP28" s="45" t="s">
        <v>76</v>
      </c>
      <c r="AQ28" s="70" t="e">
        <f t="shared" si="1"/>
        <v>#VALUE!</v>
      </c>
      <c r="AV28" s="72"/>
      <c r="AY28" s="72" t="s">
        <v>38</v>
      </c>
    </row>
    <row r="29" spans="1:52" ht="35.1" customHeight="1">
      <c r="A29" s="68"/>
      <c r="B29" s="113"/>
      <c r="C29" s="113"/>
      <c r="D29" s="113"/>
      <c r="E29" s="113"/>
      <c r="F29" s="113"/>
      <c r="G29" s="106"/>
      <c r="H29" s="106"/>
      <c r="I29" s="106"/>
      <c r="J29" s="106"/>
      <c r="K29" s="106"/>
      <c r="L29" s="106"/>
      <c r="M29" s="106"/>
      <c r="N29" s="106"/>
      <c r="O29" s="96"/>
      <c r="P29" s="96"/>
      <c r="Q29" s="96"/>
      <c r="R29" s="92"/>
      <c r="S29" s="92"/>
      <c r="T29" s="92"/>
      <c r="U29" s="92"/>
      <c r="V29" s="106"/>
      <c r="W29" s="106"/>
      <c r="X29" s="106"/>
      <c r="Y29" s="106"/>
      <c r="Z29" s="98"/>
      <c r="AA29" s="98"/>
      <c r="AB29" s="92"/>
      <c r="AC29" s="92"/>
      <c r="AD29" s="109"/>
      <c r="AE29" s="76"/>
      <c r="AF29" s="110"/>
      <c r="AG29" s="110"/>
      <c r="AH29" s="76"/>
      <c r="AI29" s="111"/>
      <c r="AJ29" s="111"/>
      <c r="AK29" s="112"/>
      <c r="AL29" s="105"/>
      <c r="AM29" s="105"/>
      <c r="AN29" s="105"/>
      <c r="AO29" s="45" t="str">
        <f t="shared" si="0"/>
        <v/>
      </c>
      <c r="AP29" s="45" t="s">
        <v>76</v>
      </c>
      <c r="AQ29" s="70" t="e">
        <f t="shared" si="1"/>
        <v>#VALUE!</v>
      </c>
      <c r="AV29" s="72"/>
      <c r="AY29" s="72" t="s">
        <v>39</v>
      </c>
    </row>
    <row r="30" spans="1:52" ht="35.1" customHeight="1">
      <c r="A30" s="68"/>
      <c r="B30" s="94"/>
      <c r="C30" s="94"/>
      <c r="D30" s="94"/>
      <c r="E30" s="94"/>
      <c r="F30" s="94"/>
      <c r="G30" s="106"/>
      <c r="H30" s="106"/>
      <c r="I30" s="106"/>
      <c r="J30" s="106"/>
      <c r="K30" s="106"/>
      <c r="L30" s="106"/>
      <c r="M30" s="106"/>
      <c r="N30" s="106"/>
      <c r="O30" s="96"/>
      <c r="P30" s="96"/>
      <c r="Q30" s="96"/>
      <c r="R30" s="92"/>
      <c r="S30" s="92"/>
      <c r="T30" s="92"/>
      <c r="U30" s="92"/>
      <c r="V30" s="106"/>
      <c r="W30" s="106"/>
      <c r="X30" s="106"/>
      <c r="Y30" s="106"/>
      <c r="Z30" s="98"/>
      <c r="AA30" s="98"/>
      <c r="AB30" s="92"/>
      <c r="AC30" s="92"/>
      <c r="AD30" s="109"/>
      <c r="AE30" s="76"/>
      <c r="AF30" s="110"/>
      <c r="AG30" s="110"/>
      <c r="AH30" s="76"/>
      <c r="AI30" s="111"/>
      <c r="AJ30" s="111"/>
      <c r="AK30" s="112"/>
      <c r="AL30" s="105"/>
      <c r="AM30" s="105"/>
      <c r="AN30" s="105"/>
      <c r="AO30" s="45" t="str">
        <f t="shared" si="0"/>
        <v/>
      </c>
      <c r="AP30" s="45" t="s">
        <v>76</v>
      </c>
      <c r="AQ30" s="70" t="e">
        <f t="shared" si="1"/>
        <v>#VALUE!</v>
      </c>
      <c r="AV30" s="72"/>
      <c r="AY30" s="72" t="s">
        <v>40</v>
      </c>
    </row>
    <row r="31" spans="1:52" ht="35.1" customHeight="1">
      <c r="A31" s="68"/>
      <c r="B31" s="116"/>
      <c r="C31" s="117"/>
      <c r="D31" s="117"/>
      <c r="E31" s="117"/>
      <c r="F31" s="118"/>
      <c r="G31" s="119"/>
      <c r="H31" s="120"/>
      <c r="I31" s="120"/>
      <c r="J31" s="120"/>
      <c r="K31" s="120"/>
      <c r="L31" s="120"/>
      <c r="M31" s="120"/>
      <c r="N31" s="121"/>
      <c r="O31" s="96"/>
      <c r="P31" s="96"/>
      <c r="Q31" s="96"/>
      <c r="R31" s="92"/>
      <c r="S31" s="92"/>
      <c r="T31" s="92"/>
      <c r="U31" s="92"/>
      <c r="V31" s="92"/>
      <c r="W31" s="92"/>
      <c r="X31" s="92"/>
      <c r="Y31" s="92"/>
      <c r="Z31" s="98"/>
      <c r="AA31" s="98"/>
      <c r="AB31" s="92"/>
      <c r="AC31" s="92"/>
      <c r="AD31" s="109"/>
      <c r="AE31" s="76"/>
      <c r="AF31" s="111"/>
      <c r="AG31" s="112"/>
      <c r="AH31" s="76"/>
      <c r="AI31" s="111"/>
      <c r="AJ31" s="111"/>
      <c r="AK31" s="112"/>
      <c r="AL31" s="105"/>
      <c r="AM31" s="105"/>
      <c r="AN31" s="105"/>
      <c r="AO31" s="45" t="str">
        <f t="shared" si="0"/>
        <v/>
      </c>
      <c r="AP31" s="45" t="s">
        <v>76</v>
      </c>
      <c r="AQ31" s="70" t="e">
        <f t="shared" si="1"/>
        <v>#VALUE!</v>
      </c>
    </row>
    <row r="32" spans="1:52" ht="35.1" customHeight="1">
      <c r="A32" s="77"/>
      <c r="B32" s="81"/>
      <c r="C32" s="81"/>
      <c r="D32" s="81"/>
      <c r="E32" s="81"/>
      <c r="F32" s="81"/>
      <c r="G32" s="114"/>
      <c r="H32" s="114"/>
      <c r="I32" s="114"/>
      <c r="J32" s="114"/>
      <c r="K32" s="114"/>
      <c r="L32" s="114"/>
      <c r="M32" s="114"/>
      <c r="N32" s="114"/>
      <c r="O32" s="115"/>
      <c r="P32" s="115"/>
      <c r="Q32" s="115"/>
      <c r="R32" s="92"/>
      <c r="S32" s="92"/>
      <c r="T32" s="92"/>
      <c r="U32" s="92"/>
      <c r="V32" s="92"/>
      <c r="W32" s="92"/>
      <c r="X32" s="92"/>
      <c r="Y32" s="92"/>
      <c r="Z32" s="98"/>
      <c r="AA32" s="98"/>
      <c r="AB32" s="92"/>
      <c r="AC32" s="92"/>
      <c r="AD32" s="109"/>
      <c r="AE32" s="76"/>
      <c r="AF32" s="111"/>
      <c r="AG32" s="112"/>
      <c r="AH32" s="76"/>
      <c r="AI32" s="111"/>
      <c r="AJ32" s="111"/>
      <c r="AK32" s="112"/>
      <c r="AL32" s="105"/>
      <c r="AM32" s="105"/>
      <c r="AN32" s="105"/>
      <c r="AO32" s="45" t="str">
        <f t="shared" si="0"/>
        <v/>
      </c>
      <c r="AP32" s="45" t="s">
        <v>76</v>
      </c>
      <c r="AQ32" s="70" t="e">
        <f t="shared" si="1"/>
        <v>#VALUE!</v>
      </c>
    </row>
    <row r="33" spans="1:51" ht="35.1" customHeight="1">
      <c r="A33" s="77"/>
      <c r="B33" s="81"/>
      <c r="C33" s="81"/>
      <c r="D33" s="81"/>
      <c r="E33" s="81"/>
      <c r="F33" s="81"/>
      <c r="G33" s="113"/>
      <c r="H33" s="113"/>
      <c r="I33" s="113"/>
      <c r="J33" s="113"/>
      <c r="K33" s="113"/>
      <c r="L33" s="113"/>
      <c r="M33" s="113"/>
      <c r="N33" s="113"/>
      <c r="O33" s="115"/>
      <c r="P33" s="115"/>
      <c r="Q33" s="115"/>
      <c r="R33" s="92"/>
      <c r="S33" s="92"/>
      <c r="T33" s="92"/>
      <c r="U33" s="92"/>
      <c r="V33" s="92"/>
      <c r="W33" s="92"/>
      <c r="X33" s="92"/>
      <c r="Y33" s="92"/>
      <c r="Z33" s="98"/>
      <c r="AA33" s="98"/>
      <c r="AB33" s="92"/>
      <c r="AC33" s="92"/>
      <c r="AD33" s="109"/>
      <c r="AE33" s="76"/>
      <c r="AF33" s="111"/>
      <c r="AG33" s="112"/>
      <c r="AH33" s="76"/>
      <c r="AI33" s="111"/>
      <c r="AJ33" s="111"/>
      <c r="AK33" s="112"/>
      <c r="AL33" s="105"/>
      <c r="AM33" s="105"/>
      <c r="AN33" s="105"/>
      <c r="AO33" s="45" t="str">
        <f t="shared" si="0"/>
        <v/>
      </c>
      <c r="AP33" s="45" t="s">
        <v>76</v>
      </c>
      <c r="AQ33" s="70" t="e">
        <f t="shared" si="1"/>
        <v>#VALUE!</v>
      </c>
      <c r="AY33" s="45" t="s">
        <v>41</v>
      </c>
    </row>
    <row r="34" spans="1:51" ht="35.1" customHeight="1">
      <c r="A34" s="77"/>
      <c r="B34" s="81"/>
      <c r="C34" s="81"/>
      <c r="D34" s="81"/>
      <c r="E34" s="81"/>
      <c r="F34" s="81"/>
      <c r="G34" s="114"/>
      <c r="H34" s="114"/>
      <c r="I34" s="114"/>
      <c r="J34" s="114"/>
      <c r="K34" s="114"/>
      <c r="L34" s="114"/>
      <c r="M34" s="114"/>
      <c r="N34" s="114"/>
      <c r="O34" s="115"/>
      <c r="P34" s="115"/>
      <c r="Q34" s="115"/>
      <c r="R34" s="92"/>
      <c r="S34" s="92"/>
      <c r="T34" s="92"/>
      <c r="U34" s="92"/>
      <c r="V34" s="92"/>
      <c r="W34" s="92"/>
      <c r="X34" s="92"/>
      <c r="Y34" s="92"/>
      <c r="Z34" s="98"/>
      <c r="AA34" s="98"/>
      <c r="AB34" s="92"/>
      <c r="AC34" s="92"/>
      <c r="AD34" s="109"/>
      <c r="AE34" s="76"/>
      <c r="AF34" s="111"/>
      <c r="AG34" s="112"/>
      <c r="AH34" s="76"/>
      <c r="AI34" s="111"/>
      <c r="AJ34" s="111"/>
      <c r="AK34" s="112"/>
      <c r="AL34" s="105" t="s">
        <v>42</v>
      </c>
      <c r="AM34" s="105"/>
      <c r="AN34" s="105"/>
      <c r="AO34" s="45" t="str">
        <f t="shared" si="0"/>
        <v/>
      </c>
      <c r="AQ34" s="70"/>
    </row>
    <row r="35" spans="1:51" ht="35.1" customHeight="1">
      <c r="A35" s="77"/>
      <c r="B35" s="93"/>
      <c r="C35" s="93"/>
      <c r="D35" s="93"/>
      <c r="E35" s="93"/>
      <c r="F35" s="93"/>
      <c r="G35" s="122"/>
      <c r="H35" s="122"/>
      <c r="I35" s="122"/>
      <c r="J35" s="122"/>
      <c r="K35" s="122"/>
      <c r="L35" s="122"/>
      <c r="M35" s="122"/>
      <c r="N35" s="122"/>
      <c r="O35" s="115"/>
      <c r="P35" s="115"/>
      <c r="Q35" s="115"/>
      <c r="R35" s="123"/>
      <c r="S35" s="123"/>
      <c r="T35" s="123"/>
      <c r="U35" s="123"/>
      <c r="V35" s="123"/>
      <c r="W35" s="123"/>
      <c r="X35" s="123"/>
      <c r="Y35" s="123"/>
      <c r="Z35" s="124"/>
      <c r="AA35" s="124"/>
      <c r="AB35" s="123"/>
      <c r="AC35" s="123"/>
      <c r="AD35" s="125"/>
      <c r="AE35" s="78"/>
      <c r="AF35" s="126"/>
      <c r="AG35" s="127"/>
      <c r="AH35" s="78"/>
      <c r="AI35" s="126"/>
      <c r="AJ35" s="126"/>
      <c r="AK35" s="127"/>
      <c r="AL35" s="128"/>
      <c r="AM35" s="128"/>
      <c r="AN35" s="128"/>
      <c r="AO35" s="45" t="str">
        <f t="shared" si="0"/>
        <v/>
      </c>
      <c r="AP35" s="45" t="s">
        <v>76</v>
      </c>
      <c r="AQ35" s="70" t="e">
        <f>TRIM(LEFT(AP35,1)&amp;MID(AP35,FIND(" ",AP35&amp;" ")+1,1)&amp;MID(AP35,FIND("*",SUBSTITUTE(AP35&amp;" "," ","*",2))+1,1))</f>
        <v>#VALUE!</v>
      </c>
    </row>
    <row r="36" spans="1:51" s="62" customFormat="1" ht="15.95" customHeight="1">
      <c r="A36" s="129" t="s">
        <v>43</v>
      </c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1"/>
      <c r="O36" s="132" t="s">
        <v>44</v>
      </c>
      <c r="P36" s="132"/>
      <c r="Q36" s="132"/>
      <c r="R36" s="99" t="s">
        <v>45</v>
      </c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 t="s">
        <v>46</v>
      </c>
      <c r="AE36" s="99"/>
      <c r="AF36" s="99"/>
      <c r="AG36" s="99"/>
      <c r="AH36" s="99" t="s">
        <v>47</v>
      </c>
      <c r="AI36" s="99"/>
      <c r="AJ36" s="99"/>
      <c r="AK36" s="99"/>
      <c r="AL36" s="132" t="s">
        <v>48</v>
      </c>
      <c r="AM36" s="132"/>
      <c r="AN36" s="132"/>
    </row>
    <row r="37" spans="1:51" s="66" customFormat="1" ht="12.75" customHeight="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149"/>
      <c r="O37" s="150" t="s">
        <v>49</v>
      </c>
      <c r="P37" s="151"/>
      <c r="Q37" s="152"/>
      <c r="R37" s="156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57"/>
      <c r="AE37" s="157"/>
      <c r="AF37" s="157"/>
      <c r="AG37" s="157"/>
      <c r="AH37" s="157"/>
      <c r="AI37" s="157"/>
      <c r="AJ37" s="157"/>
      <c r="AK37" s="158"/>
      <c r="AL37" s="159"/>
      <c r="AM37" s="133"/>
      <c r="AN37" s="134"/>
    </row>
    <row r="38" spans="1:51" ht="12" customHeight="1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149"/>
      <c r="O38" s="153"/>
      <c r="P38" s="154"/>
      <c r="Q38" s="155"/>
      <c r="R38" s="156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57"/>
      <c r="AE38" s="157"/>
      <c r="AF38" s="157"/>
      <c r="AG38" s="157"/>
      <c r="AH38" s="157"/>
      <c r="AI38" s="157"/>
      <c r="AJ38" s="157"/>
      <c r="AK38" s="158"/>
      <c r="AL38" s="160"/>
      <c r="AM38" s="135"/>
      <c r="AN38" s="136"/>
    </row>
    <row r="39" spans="1:51" ht="12" customHeight="1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149"/>
      <c r="O39" s="137">
        <f ca="1">TODAY()</f>
        <v>46097</v>
      </c>
      <c r="P39" s="138"/>
      <c r="Q39" s="139"/>
      <c r="R39" s="156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57"/>
      <c r="AE39" s="157"/>
      <c r="AF39" s="157"/>
      <c r="AG39" s="157"/>
      <c r="AH39" s="157"/>
      <c r="AI39" s="157"/>
      <c r="AJ39" s="157"/>
      <c r="AK39" s="158"/>
      <c r="AL39" s="143"/>
      <c r="AM39" s="144"/>
      <c r="AN39" s="145"/>
    </row>
    <row r="40" spans="1:51" ht="12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149"/>
      <c r="O40" s="140"/>
      <c r="P40" s="141"/>
      <c r="Q40" s="142"/>
      <c r="R40" s="156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57"/>
      <c r="AE40" s="157"/>
      <c r="AF40" s="157"/>
      <c r="AG40" s="157"/>
      <c r="AH40" s="157"/>
      <c r="AI40" s="157"/>
      <c r="AJ40" s="157"/>
      <c r="AK40" s="158"/>
      <c r="AL40" s="146"/>
      <c r="AM40" s="147"/>
      <c r="AN40" s="148"/>
    </row>
    <row r="41" spans="1:51" ht="14.1" customHeight="1">
      <c r="A41" s="45" t="s">
        <v>50</v>
      </c>
      <c r="AN41" s="79" t="s">
        <v>51</v>
      </c>
      <c r="AQ41" s="45" t="e">
        <v>#VALUE!</v>
      </c>
    </row>
    <row r="42" spans="1:51" ht="8.1" customHeight="1">
      <c r="AN42" s="79"/>
    </row>
    <row r="43" spans="1:51" ht="8.1" customHeight="1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</row>
    <row r="44" spans="1:51" ht="12.75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</row>
    <row r="45" spans="1:51" ht="12.75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</row>
    <row r="46" spans="1:51" ht="18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</row>
    <row r="47" spans="1:51" ht="25.5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</row>
    <row r="48" spans="1:51" ht="3" customHeight="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</row>
    <row r="49" spans="1:40" ht="18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</row>
    <row r="50" spans="1:40" ht="22.5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</row>
    <row r="51" spans="1:40" ht="24.95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</row>
    <row r="52" spans="1:40" s="66" customFormat="1" ht="24.95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</row>
    <row r="53" spans="1:40" ht="5.0999999999999996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</row>
    <row r="54" spans="1:40" ht="14.45" customHeigh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</row>
    <row r="55" spans="1:40" s="66" customFormat="1" ht="12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</row>
    <row r="56" spans="1:40" s="66" customFormat="1" ht="12" customHeigh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</row>
    <row r="57" spans="1:40" s="66" customFormat="1" ht="12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</row>
    <row r="58" spans="1:40" s="66" customFormat="1" ht="12" customHeigh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</row>
    <row r="59" spans="1:40" s="66" customFormat="1" ht="12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</row>
    <row r="60" spans="1:40" ht="35.1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</row>
    <row r="61" spans="1:40" ht="35.1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</row>
    <row r="62" spans="1:40" ht="35.1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</row>
    <row r="63" spans="1:40" ht="35.1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</row>
    <row r="64" spans="1:40" ht="35.1" customHeight="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</row>
    <row r="65" spans="1:40" ht="35.1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</row>
    <row r="66" spans="1:40" ht="35.1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</row>
    <row r="67" spans="1:40" s="70" customFormat="1" ht="35.1" customHeigh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</row>
    <row r="68" spans="1:40" ht="35.1" customHeigh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</row>
    <row r="69" spans="1:40" ht="35.1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</row>
    <row r="70" spans="1:40" ht="35.1" customHeigh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</row>
    <row r="71" spans="1:40" ht="35.1" customHeigh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</row>
    <row r="72" spans="1:40" ht="35.1" customHeigh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</row>
    <row r="73" spans="1:40" ht="35.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</row>
    <row r="74" spans="1:40" ht="35.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</row>
    <row r="75" spans="1:40" ht="35.1" customHeight="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</row>
    <row r="76" spans="1:40" ht="35.1" customHeigh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</row>
    <row r="77" spans="1:40" ht="35.1" customHeigh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</row>
    <row r="78" spans="1:40" ht="35.1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</row>
    <row r="79" spans="1:40" s="62" customFormat="1" ht="15.95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</row>
    <row r="80" spans="1:40" s="66" customFormat="1" ht="12.75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</row>
    <row r="81" spans="1:40" ht="12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</row>
    <row r="82" spans="1:40" ht="12" customHeigh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</row>
    <row r="83" spans="1:40" ht="12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</row>
    <row r="84" spans="1:40" ht="14.1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</row>
    <row r="85" spans="1:40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</row>
    <row r="86" spans="1:40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</row>
    <row r="87" spans="1:40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</row>
    <row r="88" spans="1:40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</row>
    <row r="89" spans="1:40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</row>
    <row r="90" spans="1:40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</row>
    <row r="91" spans="1:40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</row>
    <row r="92" spans="1:40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</row>
    <row r="93" spans="1:40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</row>
    <row r="94" spans="1:40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</row>
    <row r="95" spans="1:40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</row>
    <row r="96" spans="1:40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</row>
    <row r="97" spans="1:40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</row>
    <row r="98" spans="1:40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</row>
    <row r="99" spans="1:40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</row>
    <row r="100" spans="1:40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</row>
    <row r="101" spans="1:40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</row>
    <row r="102" spans="1:40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</row>
    <row r="103" spans="1:40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</row>
    <row r="104" spans="1:40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</row>
    <row r="105" spans="1:40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</row>
    <row r="106" spans="1:40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</row>
    <row r="107" spans="1:40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</row>
    <row r="108" spans="1:40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</row>
    <row r="109" spans="1:40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</row>
    <row r="110" spans="1:40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</row>
  </sheetData>
  <mergeCells count="222">
    <mergeCell ref="AM37:AN38"/>
    <mergeCell ref="O39:Q40"/>
    <mergeCell ref="AL39:AN40"/>
    <mergeCell ref="A37:N40"/>
    <mergeCell ref="O37:Q38"/>
    <mergeCell ref="R37:AC40"/>
    <mergeCell ref="AD37:AG40"/>
    <mergeCell ref="AH37:AK40"/>
    <mergeCell ref="AL37:AL38"/>
    <mergeCell ref="AB35:AD35"/>
    <mergeCell ref="AF35:AG35"/>
    <mergeCell ref="AI35:AK35"/>
    <mergeCell ref="AL35:AN35"/>
    <mergeCell ref="A36:N36"/>
    <mergeCell ref="O36:Q36"/>
    <mergeCell ref="R36:AC36"/>
    <mergeCell ref="AD36:AG36"/>
    <mergeCell ref="AH36:AK36"/>
    <mergeCell ref="AL36:AN36"/>
    <mergeCell ref="Z35:AA35"/>
    <mergeCell ref="B34:F34"/>
    <mergeCell ref="G34:N34"/>
    <mergeCell ref="O34:Q34"/>
    <mergeCell ref="R34:U34"/>
    <mergeCell ref="V34:Y34"/>
    <mergeCell ref="Z34:AA34"/>
    <mergeCell ref="B35:F35"/>
    <mergeCell ref="G35:N35"/>
    <mergeCell ref="O35:Q35"/>
    <mergeCell ref="R35:U35"/>
    <mergeCell ref="V35:Y35"/>
    <mergeCell ref="AB32:AD32"/>
    <mergeCell ref="AF32:AG32"/>
    <mergeCell ref="AI32:AK32"/>
    <mergeCell ref="AL32:AN32"/>
    <mergeCell ref="AB34:AD34"/>
    <mergeCell ref="AF34:AG34"/>
    <mergeCell ref="AI34:AK34"/>
    <mergeCell ref="AL34:AN34"/>
    <mergeCell ref="Z33:AA33"/>
    <mergeCell ref="AB33:AD33"/>
    <mergeCell ref="AF33:AG33"/>
    <mergeCell ref="AI33:AK33"/>
    <mergeCell ref="AL33:AN33"/>
    <mergeCell ref="B33:F33"/>
    <mergeCell ref="G33:N33"/>
    <mergeCell ref="O33:Q33"/>
    <mergeCell ref="R33:U33"/>
    <mergeCell ref="V33:Y33"/>
    <mergeCell ref="Z30:AA30"/>
    <mergeCell ref="AB30:AD30"/>
    <mergeCell ref="AF30:AG30"/>
    <mergeCell ref="AI30:AK30"/>
    <mergeCell ref="AL30:AN30"/>
    <mergeCell ref="AL31:AN31"/>
    <mergeCell ref="B32:F32"/>
    <mergeCell ref="G32:N32"/>
    <mergeCell ref="O32:Q32"/>
    <mergeCell ref="R32:U32"/>
    <mergeCell ref="V32:Y32"/>
    <mergeCell ref="B31:F31"/>
    <mergeCell ref="G31:N31"/>
    <mergeCell ref="O31:Q31"/>
    <mergeCell ref="R31:U31"/>
    <mergeCell ref="V31:Y31"/>
    <mergeCell ref="Z31:AA31"/>
    <mergeCell ref="AB31:AD31"/>
    <mergeCell ref="AF31:AG31"/>
    <mergeCell ref="AI31:AK31"/>
    <mergeCell ref="Z32:AA32"/>
    <mergeCell ref="B30:F30"/>
    <mergeCell ref="G30:N30"/>
    <mergeCell ref="O30:Q30"/>
    <mergeCell ref="R30:U30"/>
    <mergeCell ref="V30:Y30"/>
    <mergeCell ref="Z29:AA29"/>
    <mergeCell ref="AB29:AD29"/>
    <mergeCell ref="AF29:AG29"/>
    <mergeCell ref="AI29:AK29"/>
    <mergeCell ref="AL29:AN29"/>
    <mergeCell ref="B29:F29"/>
    <mergeCell ref="G29:N29"/>
    <mergeCell ref="O29:Q29"/>
    <mergeCell ref="R29:U29"/>
    <mergeCell ref="V29:Y29"/>
    <mergeCell ref="Z28:AA28"/>
    <mergeCell ref="AB28:AD28"/>
    <mergeCell ref="AF28:AG28"/>
    <mergeCell ref="AI28:AK28"/>
    <mergeCell ref="AL28:AN28"/>
    <mergeCell ref="B28:F28"/>
    <mergeCell ref="G28:N28"/>
    <mergeCell ref="O28:Q28"/>
    <mergeCell ref="R28:U28"/>
    <mergeCell ref="V28:Y28"/>
    <mergeCell ref="Z27:AA27"/>
    <mergeCell ref="AB27:AD27"/>
    <mergeCell ref="AF27:AG27"/>
    <mergeCell ref="AI27:AK27"/>
    <mergeCell ref="AL27:AN27"/>
    <mergeCell ref="B27:F27"/>
    <mergeCell ref="G27:N27"/>
    <mergeCell ref="O27:Q27"/>
    <mergeCell ref="R27:U27"/>
    <mergeCell ref="V27:Y27"/>
    <mergeCell ref="Z26:AA26"/>
    <mergeCell ref="AB26:AD26"/>
    <mergeCell ref="AF26:AG26"/>
    <mergeCell ref="AI26:AK26"/>
    <mergeCell ref="AL26:AN26"/>
    <mergeCell ref="B26:F26"/>
    <mergeCell ref="G26:N26"/>
    <mergeCell ref="O26:Q26"/>
    <mergeCell ref="R26:U26"/>
    <mergeCell ref="V26:Y26"/>
    <mergeCell ref="Z25:AA25"/>
    <mergeCell ref="AB25:AD25"/>
    <mergeCell ref="AF25:AG25"/>
    <mergeCell ref="AI25:AK25"/>
    <mergeCell ref="AL25:AN25"/>
    <mergeCell ref="B25:F25"/>
    <mergeCell ref="G25:N25"/>
    <mergeCell ref="O25:Q25"/>
    <mergeCell ref="R25:U25"/>
    <mergeCell ref="V25:Y25"/>
    <mergeCell ref="Z24:AA24"/>
    <mergeCell ref="AB24:AD24"/>
    <mergeCell ref="AF24:AG24"/>
    <mergeCell ref="AI24:AK24"/>
    <mergeCell ref="AL24:AN24"/>
    <mergeCell ref="B24:F24"/>
    <mergeCell ref="G24:N24"/>
    <mergeCell ref="O24:Q24"/>
    <mergeCell ref="R24:U24"/>
    <mergeCell ref="V24:Y24"/>
    <mergeCell ref="Z23:AA23"/>
    <mergeCell ref="AB23:AD23"/>
    <mergeCell ref="AF23:AG23"/>
    <mergeCell ref="AI23:AK23"/>
    <mergeCell ref="AL23:AN23"/>
    <mergeCell ref="B23:F23"/>
    <mergeCell ref="G23:N23"/>
    <mergeCell ref="O23:Q23"/>
    <mergeCell ref="R23:U23"/>
    <mergeCell ref="V23:Y23"/>
    <mergeCell ref="Z22:AA22"/>
    <mergeCell ref="AB22:AD22"/>
    <mergeCell ref="AF22:AG22"/>
    <mergeCell ref="AI22:AK22"/>
    <mergeCell ref="AL22:AN22"/>
    <mergeCell ref="B22:F22"/>
    <mergeCell ref="G22:N22"/>
    <mergeCell ref="O22:Q22"/>
    <mergeCell ref="R22:U22"/>
    <mergeCell ref="V22:Y22"/>
    <mergeCell ref="Z21:AA21"/>
    <mergeCell ref="AB21:AD21"/>
    <mergeCell ref="AF21:AG21"/>
    <mergeCell ref="AI21:AK21"/>
    <mergeCell ref="AL21:AN21"/>
    <mergeCell ref="B21:F21"/>
    <mergeCell ref="G21:N21"/>
    <mergeCell ref="O21:Q21"/>
    <mergeCell ref="R21:U21"/>
    <mergeCell ref="V21:Y21"/>
    <mergeCell ref="Z20:AA20"/>
    <mergeCell ref="AB20:AD20"/>
    <mergeCell ref="AF20:AG20"/>
    <mergeCell ref="AI20:AK20"/>
    <mergeCell ref="AL20:AN20"/>
    <mergeCell ref="B20:F20"/>
    <mergeCell ref="G20:N20"/>
    <mergeCell ref="O20:Q20"/>
    <mergeCell ref="R20:U20"/>
    <mergeCell ref="V20:Y20"/>
    <mergeCell ref="Z19:AA19"/>
    <mergeCell ref="AB19:AD19"/>
    <mergeCell ref="AF19:AG19"/>
    <mergeCell ref="AI19:AK19"/>
    <mergeCell ref="AL19:AN19"/>
    <mergeCell ref="B19:F19"/>
    <mergeCell ref="G19:N19"/>
    <mergeCell ref="O19:Q19"/>
    <mergeCell ref="R19:U19"/>
    <mergeCell ref="V19:Y19"/>
    <mergeCell ref="Z18:AA18"/>
    <mergeCell ref="AB18:AD18"/>
    <mergeCell ref="AF18:AG18"/>
    <mergeCell ref="AI18:AK18"/>
    <mergeCell ref="AL18:AN18"/>
    <mergeCell ref="B18:F18"/>
    <mergeCell ref="G18:N18"/>
    <mergeCell ref="O18:Q18"/>
    <mergeCell ref="R18:U18"/>
    <mergeCell ref="V18:Y18"/>
    <mergeCell ref="Z17:AA17"/>
    <mergeCell ref="AB17:AD17"/>
    <mergeCell ref="AF17:AG17"/>
    <mergeCell ref="AI17:AK17"/>
    <mergeCell ref="AL17:AN17"/>
    <mergeCell ref="B17:F17"/>
    <mergeCell ref="G17:N17"/>
    <mergeCell ref="O17:Q17"/>
    <mergeCell ref="R17:U17"/>
    <mergeCell ref="V17:Y17"/>
    <mergeCell ref="V12:Y16"/>
    <mergeCell ref="A3:AN3"/>
    <mergeCell ref="F6:M6"/>
    <mergeCell ref="AG6:AL6"/>
    <mergeCell ref="D7:M7"/>
    <mergeCell ref="AG7:AL7"/>
    <mergeCell ref="A11:AN11"/>
    <mergeCell ref="Z12:AA16"/>
    <mergeCell ref="AB12:AD16"/>
    <mergeCell ref="AE12:AG16"/>
    <mergeCell ref="AH12:AK16"/>
    <mergeCell ref="AL12:AN16"/>
    <mergeCell ref="A12:A16"/>
    <mergeCell ref="B12:F16"/>
    <mergeCell ref="G12:N16"/>
    <mergeCell ref="O12:Q16"/>
    <mergeCell ref="R12:U16"/>
  </mergeCells>
  <conditionalFormatting sqref="D7">
    <cfRule type="expression" dxfId="4" priority="1" stopIfTrue="1">
      <formula>$U7="CANCELED"</formula>
    </cfRule>
  </conditionalFormatting>
  <conditionalFormatting sqref="O17:O35">
    <cfRule type="cellIs" dxfId="3" priority="2" stopIfTrue="1" operator="equal">
      <formula>#VALUE!</formula>
    </cfRule>
    <cfRule type="cellIs" dxfId="2" priority="3" stopIfTrue="1" operator="equal">
      <formula>0</formula>
    </cfRule>
  </conditionalFormatting>
  <conditionalFormatting sqref="AS17">
    <cfRule type="cellIs" dxfId="0" priority="5" stopIfTrue="1" operator="between">
      <formula>"AB,FF,OE,OSE"</formula>
      <formula>"AB,FF,OE,OSE"</formula>
    </cfRule>
  </conditionalFormatting>
  <dataValidations count="2">
    <dataValidation type="list" allowBlank="1" showInputMessage="1" showErrorMessage="1" sqref="AQ7:AQ8">
      <formula1>$AQ$7:$AQ$8</formula1>
    </dataValidation>
    <dataValidation type="list" allowBlank="1" showInputMessage="1" showErrorMessage="1" sqref="O37 P37:S38">
      <formula1>$BE$6:$BE$8</formula1>
    </dataValidation>
  </dataValidations>
  <printOptions horizontalCentered="1"/>
  <pageMargins left="0" right="0" top="0" bottom="0" header="0" footer="0"/>
  <pageSetup paperSize="9" scale="4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F3:N52"/>
  <sheetViews>
    <sheetView workbookViewId="0">
      <selection activeCell="M24" sqref="M24"/>
    </sheetView>
  </sheetViews>
  <sheetFormatPr defaultRowHeight="15"/>
  <cols>
    <col min="6" max="6" width="13.28515625" customWidth="1"/>
    <col min="7" max="7" width="5.7109375" customWidth="1"/>
    <col min="8" max="8" width="20.7109375" customWidth="1"/>
    <col min="9" max="9" width="5.7109375" customWidth="1"/>
    <col min="10" max="10" width="20.7109375" customWidth="1"/>
    <col min="11" max="11" width="26.7109375" customWidth="1"/>
    <col min="12" max="12" width="35.140625" customWidth="1"/>
    <col min="13" max="13" width="5.7109375" customWidth="1"/>
    <col min="14" max="14" width="34.85546875" customWidth="1"/>
  </cols>
  <sheetData>
    <row r="3" spans="6:14" ht="15.75" customHeight="1"/>
    <row r="4" spans="6:14">
      <c r="F4" s="1"/>
      <c r="G4" s="2"/>
      <c r="H4" s="2"/>
      <c r="I4" s="2"/>
      <c r="J4" s="2"/>
      <c r="K4" s="2"/>
      <c r="L4" s="3" t="s">
        <v>52</v>
      </c>
      <c r="M4" s="4" t="s">
        <v>53</v>
      </c>
      <c r="N4" s="5" t="s">
        <v>54</v>
      </c>
    </row>
    <row r="5" spans="6:14" ht="15.75" customHeight="1">
      <c r="F5" s="6"/>
      <c r="G5" s="7"/>
      <c r="H5" s="7"/>
      <c r="I5" s="7"/>
      <c r="J5" s="7"/>
      <c r="K5" s="7"/>
      <c r="L5" s="8">
        <f>M14</f>
        <v>10</v>
      </c>
      <c r="M5" s="9">
        <f>SUM(I15:I51)</f>
        <v>2</v>
      </c>
      <c r="N5" s="10">
        <f>L5-M5</f>
        <v>8</v>
      </c>
    </row>
    <row r="6" spans="6:14">
      <c r="F6" s="166" t="s">
        <v>55</v>
      </c>
      <c r="G6" s="167"/>
      <c r="H6" s="167"/>
      <c r="I6" s="167"/>
      <c r="J6" s="167"/>
      <c r="K6" s="167"/>
      <c r="L6" s="167"/>
      <c r="M6" s="167"/>
      <c r="N6" s="168"/>
    </row>
    <row r="7" spans="6:14">
      <c r="F7" s="166"/>
      <c r="G7" s="167"/>
      <c r="H7" s="167"/>
      <c r="I7" s="167"/>
      <c r="J7" s="167"/>
      <c r="K7" s="167"/>
      <c r="L7" s="167"/>
      <c r="M7" s="167"/>
      <c r="N7" s="168"/>
    </row>
    <row r="8" spans="6:14" ht="15.75" customHeight="1">
      <c r="F8" s="11" t="s">
        <v>56</v>
      </c>
      <c r="G8" s="12"/>
      <c r="H8" s="12"/>
      <c r="I8" s="12"/>
      <c r="J8" s="12"/>
      <c r="K8" s="12"/>
      <c r="L8" s="12"/>
      <c r="M8" s="13"/>
      <c r="N8" s="14"/>
    </row>
    <row r="9" spans="6:14" ht="15.75" customHeight="1">
      <c r="F9" s="169" t="s">
        <v>57</v>
      </c>
      <c r="G9" s="170"/>
      <c r="H9" s="171" t="s">
        <v>58</v>
      </c>
      <c r="I9" s="172"/>
      <c r="J9" s="172"/>
      <c r="K9" s="172"/>
      <c r="L9" s="172"/>
      <c r="M9" s="172"/>
      <c r="N9" s="173"/>
    </row>
    <row r="10" spans="6:14" ht="15.75" customHeight="1">
      <c r="F10" s="169" t="s">
        <v>59</v>
      </c>
      <c r="G10" s="170"/>
      <c r="H10" s="171" t="s">
        <v>60</v>
      </c>
      <c r="I10" s="172"/>
      <c r="J10" s="172"/>
      <c r="K10" s="172"/>
      <c r="L10" s="172"/>
      <c r="M10" s="172"/>
      <c r="N10" s="173"/>
    </row>
    <row r="11" spans="6:14" ht="15.75" customHeight="1">
      <c r="F11" s="162" t="s">
        <v>61</v>
      </c>
      <c r="G11" s="174" t="s">
        <v>62</v>
      </c>
      <c r="H11" s="161" t="s">
        <v>63</v>
      </c>
      <c r="I11" s="161" t="s">
        <v>64</v>
      </c>
      <c r="J11" s="161" t="s">
        <v>65</v>
      </c>
      <c r="K11" s="161" t="s">
        <v>66</v>
      </c>
      <c r="L11" s="161" t="s">
        <v>67</v>
      </c>
      <c r="M11" s="164" t="s">
        <v>68</v>
      </c>
      <c r="N11" s="161" t="s">
        <v>69</v>
      </c>
    </row>
    <row r="12" spans="6:14" ht="16.5" customHeight="1">
      <c r="F12" s="162"/>
      <c r="G12" s="174"/>
      <c r="H12" s="162"/>
      <c r="I12" s="162"/>
      <c r="J12" s="162"/>
      <c r="K12" s="162"/>
      <c r="L12" s="162"/>
      <c r="M12" s="164"/>
      <c r="N12" s="162"/>
    </row>
    <row r="13" spans="6:14" ht="16.5" customHeight="1">
      <c r="F13" s="163"/>
      <c r="G13" s="175"/>
      <c r="H13" s="163"/>
      <c r="I13" s="163"/>
      <c r="J13" s="163"/>
      <c r="K13" s="163"/>
      <c r="L13" s="163"/>
      <c r="M13" s="165"/>
      <c r="N13" s="163"/>
    </row>
    <row r="14" spans="6:14">
      <c r="F14" s="15">
        <v>46093</v>
      </c>
      <c r="G14" s="16">
        <v>10</v>
      </c>
      <c r="H14" s="17" t="s">
        <v>70</v>
      </c>
      <c r="I14" s="16"/>
      <c r="J14" s="16"/>
      <c r="K14" s="16"/>
      <c r="L14" s="16"/>
      <c r="M14" s="16">
        <f>G14</f>
        <v>10</v>
      </c>
      <c r="N14" s="18"/>
    </row>
    <row r="15" spans="6:14">
      <c r="F15" s="15">
        <v>46094</v>
      </c>
      <c r="G15" s="19"/>
      <c r="H15" s="20"/>
      <c r="I15" s="21">
        <v>2</v>
      </c>
      <c r="J15" s="20" t="s">
        <v>71</v>
      </c>
      <c r="K15" s="20" t="s">
        <v>72</v>
      </c>
      <c r="L15" s="22" t="s">
        <v>73</v>
      </c>
      <c r="M15" s="16">
        <f>M14-I15</f>
        <v>8</v>
      </c>
      <c r="N15" s="23"/>
    </row>
    <row r="16" spans="6:14">
      <c r="F16" s="15"/>
      <c r="G16" s="19"/>
      <c r="H16" s="19"/>
      <c r="I16" s="24"/>
      <c r="J16" s="25"/>
      <c r="K16" s="26"/>
      <c r="L16" s="22"/>
      <c r="M16" s="16"/>
      <c r="N16" s="23"/>
    </row>
    <row r="17" spans="6:14">
      <c r="F17" s="15"/>
      <c r="G17" s="19"/>
      <c r="H17" s="20"/>
      <c r="I17" s="27"/>
      <c r="J17" s="25"/>
      <c r="K17" s="26"/>
      <c r="L17" s="22"/>
      <c r="M17" s="16"/>
      <c r="N17" s="23"/>
    </row>
    <row r="18" spans="6:14">
      <c r="F18" s="15"/>
      <c r="G18" s="19"/>
      <c r="H18" s="19"/>
      <c r="I18" s="27"/>
      <c r="J18" s="25"/>
      <c r="K18" s="26"/>
      <c r="L18" s="22"/>
      <c r="M18" s="16"/>
      <c r="N18" s="23"/>
    </row>
    <row r="19" spans="6:14">
      <c r="F19" s="15"/>
      <c r="G19" s="19"/>
      <c r="H19" s="20"/>
      <c r="I19" s="27"/>
      <c r="J19" s="26"/>
      <c r="K19" s="26"/>
      <c r="L19" s="22"/>
      <c r="M19" s="16"/>
      <c r="N19" s="23"/>
    </row>
    <row r="20" spans="6:14">
      <c r="F20" s="15"/>
      <c r="G20" s="19"/>
      <c r="H20" s="19"/>
      <c r="I20" s="27"/>
      <c r="J20" s="25"/>
      <c r="K20" s="26"/>
      <c r="L20" s="22"/>
      <c r="M20" s="16"/>
      <c r="N20" s="23"/>
    </row>
    <row r="21" spans="6:14">
      <c r="F21" s="15"/>
      <c r="G21" s="19"/>
      <c r="H21" s="19"/>
      <c r="I21" s="27"/>
      <c r="J21" s="26"/>
      <c r="K21" s="26"/>
      <c r="L21" s="22"/>
      <c r="M21" s="16"/>
      <c r="N21" s="23"/>
    </row>
    <row r="22" spans="6:14">
      <c r="F22" s="15"/>
      <c r="G22" s="19"/>
      <c r="H22" s="19"/>
      <c r="I22" s="27"/>
      <c r="J22" s="25"/>
      <c r="K22" s="26"/>
      <c r="L22" s="22"/>
      <c r="M22" s="16"/>
      <c r="N22" s="23"/>
    </row>
    <row r="23" spans="6:14">
      <c r="F23" s="15"/>
      <c r="G23" s="19"/>
      <c r="H23" s="19"/>
      <c r="I23" s="27"/>
      <c r="J23" s="25"/>
      <c r="K23" s="26"/>
      <c r="L23" s="22"/>
      <c r="M23" s="16"/>
      <c r="N23" s="23"/>
    </row>
    <row r="24" spans="6:14">
      <c r="F24" s="28"/>
      <c r="G24" s="19"/>
      <c r="H24" s="19"/>
      <c r="I24" s="27"/>
      <c r="J24" s="25"/>
      <c r="K24" s="26"/>
      <c r="L24" s="22"/>
      <c r="M24" s="16"/>
      <c r="N24" s="23"/>
    </row>
    <row r="25" spans="6:14">
      <c r="F25" s="29"/>
      <c r="G25" s="19"/>
      <c r="H25" s="19"/>
      <c r="I25" s="27"/>
      <c r="J25" s="30"/>
      <c r="K25" s="26"/>
      <c r="L25" s="22"/>
      <c r="M25" s="16"/>
      <c r="N25" s="23"/>
    </row>
    <row r="26" spans="6:14">
      <c r="F26" s="29"/>
      <c r="G26" s="19"/>
      <c r="H26" s="19"/>
      <c r="I26" s="19"/>
      <c r="J26" s="20"/>
      <c r="K26" s="20"/>
      <c r="L26" s="22"/>
      <c r="M26" s="16"/>
      <c r="N26" s="23"/>
    </row>
    <row r="27" spans="6:14">
      <c r="F27" s="29"/>
      <c r="G27" s="19"/>
      <c r="H27" s="19"/>
      <c r="I27" s="19"/>
      <c r="J27" s="20"/>
      <c r="K27" s="20"/>
      <c r="L27" s="22"/>
      <c r="M27" s="16"/>
      <c r="N27" s="23"/>
    </row>
    <row r="28" spans="6:14">
      <c r="F28" s="29"/>
      <c r="G28" s="19"/>
      <c r="H28" s="19"/>
      <c r="I28" s="19"/>
      <c r="J28" s="20"/>
      <c r="K28" s="20"/>
      <c r="L28" s="22"/>
      <c r="M28" s="16"/>
      <c r="N28" s="23"/>
    </row>
    <row r="29" spans="6:14">
      <c r="F29" s="29"/>
      <c r="G29" s="19"/>
      <c r="H29" s="19"/>
      <c r="I29" s="19"/>
      <c r="J29" s="20"/>
      <c r="K29" s="20"/>
      <c r="L29" s="22"/>
      <c r="M29" s="16"/>
      <c r="N29" s="23"/>
    </row>
    <row r="30" spans="6:14">
      <c r="F30" s="29"/>
      <c r="G30" s="19"/>
      <c r="H30" s="19"/>
      <c r="I30" s="19"/>
      <c r="J30" s="20"/>
      <c r="K30" s="20"/>
      <c r="L30" s="22"/>
      <c r="M30" s="16"/>
      <c r="N30" s="23"/>
    </row>
    <row r="31" spans="6:14">
      <c r="F31" s="29"/>
      <c r="G31" s="19"/>
      <c r="H31" s="19"/>
      <c r="I31" s="26"/>
      <c r="J31" s="20"/>
      <c r="K31" s="20"/>
      <c r="L31" s="20"/>
      <c r="M31" s="16"/>
      <c r="N31" s="23"/>
    </row>
    <row r="32" spans="6:14">
      <c r="F32" s="29"/>
      <c r="G32" s="19"/>
      <c r="H32" s="19"/>
      <c r="I32" s="19"/>
      <c r="J32" s="20"/>
      <c r="K32" s="20"/>
      <c r="L32" s="20"/>
      <c r="M32" s="16"/>
      <c r="N32" s="23"/>
    </row>
    <row r="33" spans="6:14">
      <c r="F33" s="29"/>
      <c r="G33" s="19"/>
      <c r="H33" s="19"/>
      <c r="I33" s="19"/>
      <c r="J33" s="20"/>
      <c r="K33" s="20"/>
      <c r="L33" s="20"/>
      <c r="M33" s="16"/>
      <c r="N33" s="23"/>
    </row>
    <row r="34" spans="6:14">
      <c r="F34" s="29"/>
      <c r="G34" s="19"/>
      <c r="H34" s="20"/>
      <c r="I34" s="19"/>
      <c r="J34" s="19"/>
      <c r="K34" s="19"/>
      <c r="L34" s="19"/>
      <c r="M34" s="16"/>
      <c r="N34" s="23"/>
    </row>
    <row r="35" spans="6:14">
      <c r="F35" s="31"/>
      <c r="G35" s="19"/>
      <c r="H35" s="19"/>
      <c r="I35" s="19"/>
      <c r="J35" s="20"/>
      <c r="K35" s="20"/>
      <c r="L35" s="22"/>
      <c r="M35" s="16"/>
      <c r="N35" s="23"/>
    </row>
    <row r="36" spans="6:14">
      <c r="F36" s="29"/>
      <c r="G36" s="19"/>
      <c r="H36" s="19"/>
      <c r="I36" s="19"/>
      <c r="J36" s="20"/>
      <c r="K36" s="20"/>
      <c r="L36" s="20"/>
      <c r="M36" s="16"/>
      <c r="N36" s="23"/>
    </row>
    <row r="37" spans="6:14">
      <c r="F37" s="29"/>
      <c r="G37" s="19"/>
      <c r="H37" s="19"/>
      <c r="I37" s="19"/>
      <c r="J37" s="20"/>
      <c r="K37" s="20"/>
      <c r="L37" s="20"/>
      <c r="M37" s="16"/>
      <c r="N37" s="23"/>
    </row>
    <row r="38" spans="6:14">
      <c r="F38" s="29"/>
      <c r="G38" s="19"/>
      <c r="H38" s="19"/>
      <c r="I38" s="19"/>
      <c r="J38" s="20"/>
      <c r="K38" s="20"/>
      <c r="L38" s="20"/>
      <c r="M38" s="16"/>
      <c r="N38" s="23"/>
    </row>
    <row r="39" spans="6:14">
      <c r="F39" s="29"/>
      <c r="G39" s="32"/>
      <c r="H39" s="32"/>
      <c r="I39" s="32"/>
      <c r="J39" s="32"/>
      <c r="K39" s="32"/>
      <c r="L39" s="32"/>
      <c r="M39" s="16"/>
      <c r="N39" s="33"/>
    </row>
    <row r="40" spans="6:14">
      <c r="F40" s="29"/>
      <c r="G40" s="19"/>
      <c r="H40" s="20"/>
      <c r="I40" s="19"/>
      <c r="J40" s="19"/>
      <c r="K40" s="19"/>
      <c r="L40" s="19"/>
      <c r="M40" s="16"/>
      <c r="N40" s="23"/>
    </row>
    <row r="41" spans="6:14">
      <c r="F41" s="34"/>
      <c r="G41" s="35"/>
      <c r="H41" s="35"/>
      <c r="I41" s="35"/>
      <c r="J41" s="35"/>
      <c r="K41" s="35"/>
      <c r="L41" s="35"/>
      <c r="M41" s="16"/>
      <c r="N41" s="36"/>
    </row>
    <row r="42" spans="6:14">
      <c r="F42" s="29"/>
      <c r="G42" s="19"/>
      <c r="H42" s="19"/>
      <c r="I42" s="19"/>
      <c r="J42" s="20"/>
      <c r="K42" s="20"/>
      <c r="L42" s="20"/>
      <c r="M42" s="16"/>
      <c r="N42" s="23"/>
    </row>
    <row r="43" spans="6:14">
      <c r="F43" s="37"/>
      <c r="G43" s="19"/>
      <c r="H43" s="19"/>
      <c r="I43" s="19"/>
      <c r="J43" s="19"/>
      <c r="K43" s="19"/>
      <c r="L43" s="19"/>
      <c r="M43" s="19"/>
      <c r="N43" s="23"/>
    </row>
    <row r="44" spans="6:14">
      <c r="F44" s="38"/>
      <c r="G44" s="39"/>
      <c r="H44" s="39"/>
      <c r="I44" s="39"/>
      <c r="J44" s="39"/>
      <c r="K44" s="39"/>
      <c r="L44" s="39"/>
      <c r="M44" s="39"/>
      <c r="N44" s="40"/>
    </row>
    <row r="45" spans="6:14">
      <c r="F45" s="38"/>
      <c r="G45" s="39"/>
      <c r="H45" s="39"/>
      <c r="I45" s="39"/>
      <c r="J45" s="39"/>
      <c r="K45" s="39"/>
      <c r="L45" s="39"/>
      <c r="M45" s="39"/>
      <c r="N45" s="40"/>
    </row>
    <row r="46" spans="6:14">
      <c r="F46" s="38"/>
      <c r="G46" s="39"/>
      <c r="H46" s="39"/>
      <c r="I46" s="39"/>
      <c r="J46" s="39"/>
      <c r="K46" s="39"/>
      <c r="L46" s="39"/>
      <c r="M46" s="39"/>
      <c r="N46" s="40"/>
    </row>
    <row r="47" spans="6:14">
      <c r="F47" s="37"/>
      <c r="G47" s="19"/>
      <c r="H47" s="19"/>
      <c r="I47" s="19"/>
      <c r="J47" s="19"/>
      <c r="K47" s="19"/>
      <c r="L47" s="19"/>
      <c r="M47" s="19"/>
      <c r="N47" s="23"/>
    </row>
    <row r="48" spans="6:14">
      <c r="F48" s="37"/>
      <c r="G48" s="19"/>
      <c r="H48" s="19"/>
      <c r="I48" s="19"/>
      <c r="J48" s="19"/>
      <c r="K48" s="19"/>
      <c r="L48" s="19"/>
      <c r="M48" s="19"/>
      <c r="N48" s="23"/>
    </row>
    <row r="49" spans="6:14">
      <c r="F49" s="37"/>
      <c r="G49" s="19"/>
      <c r="H49" s="19"/>
      <c r="I49" s="19"/>
      <c r="J49" s="19"/>
      <c r="K49" s="19"/>
      <c r="L49" s="19"/>
      <c r="M49" s="19"/>
      <c r="N49" s="23"/>
    </row>
    <row r="50" spans="6:14">
      <c r="F50" s="37"/>
      <c r="G50" s="19"/>
      <c r="H50" s="19"/>
      <c r="I50" s="19"/>
      <c r="J50" s="19"/>
      <c r="K50" s="19"/>
      <c r="L50" s="19"/>
      <c r="M50" s="19"/>
      <c r="N50" s="23"/>
    </row>
    <row r="51" spans="6:14">
      <c r="F51" s="37"/>
      <c r="G51" s="19"/>
      <c r="H51" s="19"/>
      <c r="I51" s="19"/>
      <c r="J51" s="19"/>
      <c r="K51" s="19"/>
      <c r="L51" s="19"/>
      <c r="M51" s="19"/>
      <c r="N51" s="23"/>
    </row>
    <row r="52" spans="6:14" ht="15.75" customHeight="1">
      <c r="F52" s="11" t="s">
        <v>74</v>
      </c>
      <c r="G52" s="41"/>
      <c r="H52" s="41"/>
      <c r="I52" s="41"/>
      <c r="J52" s="41"/>
      <c r="K52" s="41"/>
      <c r="L52" s="41"/>
      <c r="M52" s="41"/>
      <c r="N52" s="42" t="s">
        <v>75</v>
      </c>
    </row>
  </sheetData>
  <mergeCells count="14">
    <mergeCell ref="K11:K13"/>
    <mergeCell ref="L11:L13"/>
    <mergeCell ref="M11:M13"/>
    <mergeCell ref="N11:N13"/>
    <mergeCell ref="F6:N7"/>
    <mergeCell ref="F9:G9"/>
    <mergeCell ref="H9:N9"/>
    <mergeCell ref="F10:G10"/>
    <mergeCell ref="H10:N10"/>
    <mergeCell ref="F11:F13"/>
    <mergeCell ref="G11:G13"/>
    <mergeCell ref="H11:H13"/>
    <mergeCell ref="I11:I13"/>
    <mergeCell ref="J11:J13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7</xdr:col>
                    <xdr:colOff>428625</xdr:colOff>
                    <xdr:row>6</xdr:row>
                    <xdr:rowOff>133350</xdr:rowOff>
                  </from>
                  <to>
                    <xdr:col>7</xdr:col>
                    <xdr:colOff>733425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8</xdr:col>
                    <xdr:colOff>371475</xdr:colOff>
                    <xdr:row>6</xdr:row>
                    <xdr:rowOff>133350</xdr:rowOff>
                  </from>
                  <to>
                    <xdr:col>9</xdr:col>
                    <xdr:colOff>295275</xdr:colOff>
                    <xdr:row>7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PRS FORM</vt:lpstr>
      <vt:lpstr>BINCARD FORM</vt:lpstr>
      <vt:lpstr>'PRS FORM'!Print_Area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Parra</dc:creator>
  <cp:keywords/>
  <dc:description/>
  <cp:lastModifiedBy>Bisita</cp:lastModifiedBy>
  <dcterms:created xsi:type="dcterms:W3CDTF">2026-03-13T00:30:25Z</dcterms:created>
  <dcterms:modified xsi:type="dcterms:W3CDTF">2026-03-16T06:03:39Z</dcterms:modified>
  <cp:category/>
</cp:coreProperties>
</file>